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mraudenieks\My Documents\SKOLOTAJAI\"/>
    </mc:Choice>
  </mc:AlternateContent>
  <xr:revisionPtr revIDLastSave="0" documentId="8_{A5B6132D-C7F6-4F95-A01B-972A8AF2B6AE}" xr6:coauthVersionLast="47" xr6:coauthVersionMax="47" xr10:uidLastSave="{00000000-0000-0000-0000-000000000000}"/>
  <bookViews>
    <workbookView xWindow="-120" yWindow="-120" windowWidth="29040" windowHeight="15840" tabRatio="704" activeTab="11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velo" sheetId="23" r:id="rId11"/>
    <sheet name="Sheet1" sheetId="25" r:id="rId12"/>
    <sheet name="pH" sheetId="24" r:id="rId13"/>
  </sheets>
  <definedNames>
    <definedName name="_xlchart.v1.0" hidden="1">velo!$G$1</definedName>
    <definedName name="_xlchart.v1.1" hidden="1">velo!$G$2:$G$1487</definedName>
    <definedName name="_xlchart.v1.2" hidden="1">velo!$G$1</definedName>
    <definedName name="_xlchart.v1.3" hidden="1">velo!$G$2:$G$1487</definedName>
    <definedName name="_xlchart.v1.4" hidden="1">velo!$G$1</definedName>
    <definedName name="_xlchart.v1.5" hidden="1">velo!$G$2:$G$1487</definedName>
    <definedName name="_xlchart.v1.6" hidden="1">velo!$G$1</definedName>
    <definedName name="_xlchart.v1.7" hidden="1">velo!$G$2:$G$1487</definedName>
    <definedName name="_xlcn.WorksheetConnection_CopyofexcelKD2026.xlsxTable21" hidden="1">Table2[]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28" r:id="rId14"/>
    <pivotCache cacheId="33" r:id="rId15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Copy of excelKD2026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0" l="1"/>
  <c r="B5" i="20"/>
  <c r="C5" i="20"/>
  <c r="D5" i="20"/>
  <c r="E5" i="20"/>
  <c r="F5" i="20"/>
  <c r="G5" i="20"/>
  <c r="B6" i="20"/>
  <c r="C6" i="20"/>
  <c r="D6" i="20"/>
  <c r="E6" i="20"/>
  <c r="F6" i="20"/>
  <c r="G6" i="20"/>
  <c r="B7" i="20"/>
  <c r="C7" i="20"/>
  <c r="D7" i="20"/>
  <c r="E7" i="20"/>
  <c r="F7" i="20"/>
  <c r="G7" i="20"/>
  <c r="B8" i="20"/>
  <c r="C8" i="20"/>
  <c r="D8" i="20"/>
  <c r="E8" i="20"/>
  <c r="F8" i="20"/>
  <c r="G8" i="20"/>
  <c r="B9" i="20"/>
  <c r="C9" i="20"/>
  <c r="D9" i="20"/>
  <c r="E9" i="20"/>
  <c r="F9" i="20"/>
  <c r="G9" i="20"/>
  <c r="C4" i="20"/>
  <c r="D4" i="20"/>
  <c r="E4" i="20"/>
  <c r="F4" i="20"/>
  <c r="B4" i="20"/>
  <c r="H5" i="20"/>
  <c r="H6" i="20"/>
  <c r="H7" i="20"/>
  <c r="H8" i="20"/>
  <c r="H9" i="20"/>
  <c r="H4" i="20"/>
  <c r="D27" i="21"/>
  <c r="D29" i="21" s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8" i="21"/>
  <c r="D2" i="21"/>
  <c r="N2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F3" i="16"/>
  <c r="F4" i="16" s="1"/>
  <c r="F5" i="16" s="1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2" i="16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F65EE1-C189-4C36-BE0B-165ECBF6AEE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7D89E9-17AC-4443-8E68-2F73F2B813C2}" name="WorksheetConnection_Copy of excelKD2026.xlsx!Table2" type="102" refreshedVersion="7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CopyofexcelKD2026.xlsxTable21"/>
        </x15:connection>
      </ext>
    </extLst>
  </connection>
</connections>
</file>

<file path=xl/sharedStrings.xml><?xml version="1.0" encoding="utf-8"?>
<sst xmlns="http://schemas.openxmlformats.org/spreadsheetml/2006/main" count="9184" uniqueCount="3919">
  <si>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</si>
  <si>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</si>
  <si>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</si>
  <si>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</si>
  <si>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</si>
  <si>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</si>
  <si>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</si>
  <si>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</si>
  <si>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</si>
  <si>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</si>
  <si>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</si>
  <si>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</si>
  <si>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</si>
  <si>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</si>
  <si>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</si>
  <si>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</si>
  <si>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</si>
  <si>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</si>
  <si>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</si>
  <si>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</si>
  <si>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</si>
  <si>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</si>
  <si>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</si>
  <si>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</si>
  <si>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</si>
  <si>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</si>
  <si>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</si>
  <si>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</si>
  <si>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</si>
  <si>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</si>
  <si>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</si>
  <si>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</si>
  <si>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</si>
  <si>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</si>
  <si>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</si>
  <si>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</si>
  <si>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</si>
  <si>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</si>
  <si>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</si>
  <si>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</si>
  <si>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</si>
  <si>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</si>
  <si>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</si>
  <si>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</si>
  <si>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</si>
  <si>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</si>
  <si>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</si>
  <si>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</si>
  <si>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</si>
  <si>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</si>
  <si>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</si>
  <si>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</si>
  <si>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</si>
  <si>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</si>
  <si>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</si>
  <si>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</si>
  <si>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</si>
  <si>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</si>
  <si>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</si>
  <si>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</si>
  <si>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</si>
  <si>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</si>
  <si>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</si>
  <si>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</si>
  <si>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</si>
  <si>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</si>
  <si>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</si>
  <si>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</si>
  <si>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</si>
  <si>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</si>
  <si>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</si>
  <si>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</si>
  <si>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</si>
  <si>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</si>
  <si>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</si>
  <si>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</si>
  <si>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</si>
  <si>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</si>
  <si>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</si>
  <si>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</si>
  <si>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</si>
  <si>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</si>
  <si>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</si>
  <si>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</si>
  <si>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</si>
  <si>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</si>
  <si>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</si>
  <si>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</si>
  <si>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</si>
  <si>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</si>
  <si>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</si>
  <si>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</si>
  <si>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</si>
  <si>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</si>
  <si>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</si>
  <si>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</si>
  <si>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</si>
  <si>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</si>
  <si>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</si>
  <si>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</si>
  <si>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</si>
  <si>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</si>
  <si>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</si>
  <si>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</si>
  <si>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</si>
  <si>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</si>
  <si>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</si>
  <si>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</si>
  <si>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</si>
  <si>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</si>
  <si>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</si>
  <si>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</si>
  <si>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</si>
  <si>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</si>
  <si>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</si>
  <si>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</si>
  <si>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</si>
  <si>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</si>
  <si>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</si>
  <si>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</si>
  <si>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</si>
  <si>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</si>
  <si>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</si>
  <si>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</si>
  <si>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</si>
  <si>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</si>
  <si>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</si>
  <si>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</si>
  <si>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</si>
  <si>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</si>
  <si>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</si>
  <si>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</si>
  <si>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</si>
  <si>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</si>
  <si>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</si>
  <si>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</si>
  <si>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</si>
  <si>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</si>
  <si>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</si>
  <si>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</si>
  <si>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</si>
  <si>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</si>
  <si>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</si>
  <si>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</si>
  <si>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</si>
  <si>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</si>
  <si>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</si>
  <si>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</si>
  <si>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</si>
  <si>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</si>
  <si>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</si>
  <si>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</si>
  <si>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</si>
  <si>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</si>
  <si>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</si>
  <si>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</si>
  <si>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</si>
  <si>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</si>
  <si>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</si>
  <si>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</si>
  <si>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</si>
  <si>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</si>
  <si>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</si>
  <si>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</si>
  <si>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</si>
  <si>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</si>
  <si>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</si>
  <si>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</si>
  <si>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</si>
  <si>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</si>
  <si>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</si>
  <si>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</si>
  <si>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</si>
  <si>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</si>
  <si>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</si>
  <si>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</si>
  <si>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</si>
  <si>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</si>
  <si>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</si>
  <si>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</si>
  <si>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</si>
  <si>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</si>
  <si>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</si>
  <si>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</si>
  <si>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</si>
  <si>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</si>
  <si>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</si>
  <si>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</si>
  <si>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</si>
  <si>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</si>
  <si>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</si>
  <si>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</si>
  <si>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</si>
  <si>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</si>
  <si>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</si>
  <si>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</si>
  <si>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</si>
  <si>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</si>
  <si>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</si>
  <si>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</si>
  <si>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</si>
  <si>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</si>
  <si>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</si>
  <si>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</si>
  <si>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</si>
  <si>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</si>
  <si>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</si>
  <si>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</si>
  <si>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</si>
  <si>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</si>
  <si>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</si>
  <si>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</si>
  <si>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</si>
  <si>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</si>
  <si>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</si>
  <si>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</si>
  <si>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</si>
  <si>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</si>
  <si>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</si>
  <si>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</si>
  <si>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</si>
  <si>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</si>
  <si>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</si>
  <si>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</si>
  <si>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</si>
  <si>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</si>
  <si>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</si>
  <si>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</si>
  <si>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</si>
  <si>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</si>
  <si>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</si>
  <si>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</si>
  <si>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</si>
  <si>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</si>
  <si>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</si>
  <si>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</si>
  <si>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</si>
  <si>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</si>
  <si>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</si>
  <si>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</si>
  <si>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</si>
  <si>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</si>
  <si>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</si>
  <si>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</si>
  <si>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</si>
  <si>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</si>
  <si>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</si>
  <si>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</si>
  <si>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</si>
  <si>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</si>
  <si>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</si>
  <si>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</si>
  <si>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</si>
  <si>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</si>
  <si>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</si>
  <si>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</si>
  <si>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</si>
  <si>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</si>
  <si>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</si>
  <si>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</si>
  <si>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</si>
  <si>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</si>
  <si>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</si>
  <si>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</si>
  <si>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</si>
  <si>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</si>
  <si>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</si>
  <si>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</si>
  <si>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</si>
  <si>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</si>
  <si>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</si>
  <si>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</si>
  <si>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</si>
  <si>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</si>
  <si>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</si>
  <si>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</si>
  <si>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</si>
  <si>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</si>
  <si>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</si>
  <si>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</si>
  <si>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</si>
  <si>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</si>
  <si>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</si>
  <si>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</si>
  <si>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</si>
  <si>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</si>
  <si>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</si>
  <si>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</si>
  <si>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</si>
  <si>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</si>
  <si>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</si>
  <si>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</si>
  <si>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</si>
  <si>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</si>
  <si>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</si>
  <si>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</si>
  <si>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</si>
  <si>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</si>
  <si>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</si>
  <si>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</si>
  <si>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</si>
  <si>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</si>
  <si>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</si>
  <si>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</si>
  <si>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</si>
  <si>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</si>
  <si>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</si>
  <si>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</si>
  <si>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</si>
  <si>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</si>
  <si>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</si>
  <si>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</si>
  <si>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</si>
  <si>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</si>
  <si>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</si>
  <si>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</si>
  <si>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</si>
  <si>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</si>
  <si>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</si>
  <si>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</si>
  <si>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</si>
  <si>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</si>
  <si>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</si>
  <si>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</si>
  <si>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</si>
  <si>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</si>
  <si>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</si>
  <si>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</si>
  <si>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</si>
  <si>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</si>
  <si>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</si>
  <si>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</si>
  <si>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</si>
  <si>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</si>
  <si>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</si>
  <si>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</si>
  <si>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</si>
  <si>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</si>
  <si>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</si>
  <si>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</si>
  <si>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</si>
  <si>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</si>
  <si>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</si>
  <si>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</si>
  <si>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</si>
  <si>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</si>
  <si>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</si>
  <si>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</si>
  <si>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</si>
  <si>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</si>
  <si>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</si>
  <si>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</si>
  <si>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</si>
  <si>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</si>
  <si>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</si>
  <si>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</si>
  <si>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</si>
  <si>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</si>
  <si>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</si>
  <si>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</si>
  <si>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</si>
  <si>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</si>
  <si>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</si>
  <si>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</si>
  <si>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</si>
  <si>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</si>
  <si>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</si>
  <si>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</si>
  <si>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</si>
  <si>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</si>
  <si>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</si>
  <si>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</si>
  <si>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</si>
  <si>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</si>
  <si>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</si>
  <si>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</si>
  <si>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</si>
  <si>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</si>
  <si>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</si>
  <si>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</si>
  <si>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</si>
  <si>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</si>
  <si>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</si>
  <si>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</si>
  <si>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</si>
  <si>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</si>
  <si>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</si>
  <si>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</si>
  <si>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</si>
  <si>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</si>
  <si>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</si>
  <si>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</si>
  <si>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</si>
  <si>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</si>
  <si>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</si>
  <si>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</si>
  <si>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</si>
  <si>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</si>
  <si>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</si>
  <si>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</si>
  <si>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</si>
  <si>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</si>
  <si>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</si>
  <si>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</si>
  <si>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</si>
  <si>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</si>
  <si>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</si>
  <si>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</si>
  <si>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</si>
  <si>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</si>
  <si>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</si>
  <si>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</si>
  <si>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</si>
  <si>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</si>
  <si>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</si>
  <si>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</si>
  <si>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</si>
  <si>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</si>
  <si>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</si>
  <si>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</si>
  <si>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</si>
  <si>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</si>
  <si>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</si>
  <si>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</si>
  <si>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</si>
  <si>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</si>
  <si>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</si>
  <si>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</si>
  <si>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</si>
  <si>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</si>
  <si>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</si>
  <si>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</si>
  <si>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</si>
  <si>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</si>
  <si>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</si>
  <si>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</si>
  <si>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</si>
  <si>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</si>
  <si>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</si>
  <si>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</si>
  <si>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</si>
  <si>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</si>
  <si>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</si>
  <si>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</si>
  <si>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</si>
  <si>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</si>
  <si>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</si>
  <si>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</si>
  <si>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</si>
  <si>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</si>
  <si>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</si>
  <si>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</si>
  <si>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</si>
  <si>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</si>
  <si>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</si>
  <si>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</si>
  <si>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</si>
  <si>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</si>
  <si>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</si>
  <si>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</si>
  <si>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</si>
  <si>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</si>
  <si>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</si>
  <si>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</si>
  <si>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</si>
  <si>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</si>
  <si>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</si>
  <si>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</si>
  <si>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</si>
  <si>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</si>
  <si>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</si>
  <si>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</si>
  <si>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</si>
  <si>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</si>
  <si>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</si>
  <si>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</si>
  <si>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</si>
  <si>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</si>
  <si>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</si>
  <si>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</si>
  <si>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</si>
  <si>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</si>
  <si>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</si>
  <si>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</si>
  <si>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</si>
  <si>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</si>
  <si>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</si>
  <si>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</si>
  <si>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</si>
  <si>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</si>
  <si>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</si>
  <si>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</si>
  <si>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</si>
  <si>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</si>
  <si>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</si>
  <si>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</si>
  <si>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</si>
  <si>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</si>
  <si>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</si>
  <si>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</si>
  <si>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</si>
  <si>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</si>
  <si>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</si>
  <si>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</si>
  <si>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</si>
  <si>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</si>
  <si>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</si>
  <si>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</si>
  <si>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</si>
  <si>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</si>
  <si>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</si>
  <si>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</si>
  <si>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</si>
  <si>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</si>
  <si>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</si>
  <si>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</si>
  <si>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</si>
  <si>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</si>
  <si>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</si>
  <si>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</si>
  <si>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</si>
  <si>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</si>
  <si>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</si>
  <si>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</si>
  <si>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</si>
  <si>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</si>
  <si>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</si>
  <si>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</si>
  <si>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</si>
  <si>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</si>
  <si>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</si>
  <si>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</si>
  <si>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</si>
  <si>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</si>
  <si>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</si>
  <si>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</si>
  <si>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</si>
  <si>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</si>
  <si>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</si>
  <si>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</si>
  <si>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</si>
  <si>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</si>
  <si>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</si>
  <si>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</si>
  <si>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</si>
  <si>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</si>
  <si>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</si>
  <si>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</si>
  <si>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</si>
  <si>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</si>
  <si>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</si>
  <si>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</si>
  <si>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</si>
  <si>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</si>
  <si>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</si>
  <si>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</si>
  <si>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</si>
  <si>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</si>
  <si>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</si>
  <si>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</si>
  <si>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</si>
  <si>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</si>
  <si>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</si>
  <si>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</si>
  <si>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</si>
  <si>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</si>
  <si>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</si>
  <si>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</si>
  <si>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</si>
  <si>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</si>
  <si>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</si>
  <si>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</si>
  <si>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</si>
  <si>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</si>
  <si>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</si>
  <si>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</si>
  <si>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</si>
  <si>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</si>
  <si>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</si>
  <si>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</si>
  <si>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</si>
  <si>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</si>
  <si>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</si>
  <si>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</si>
  <si>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</si>
  <si>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</si>
  <si>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</si>
  <si>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</si>
  <si>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</si>
  <si>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</si>
  <si>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</si>
  <si>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</si>
  <si>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</si>
  <si>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</si>
  <si>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</si>
  <si>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</si>
  <si>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</si>
  <si>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</si>
  <si>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</si>
  <si>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</si>
  <si>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</si>
  <si>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</si>
  <si>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</si>
  <si>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</si>
  <si>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</si>
  <si>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</si>
  <si>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</si>
  <si>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</si>
  <si>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</si>
  <si>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</si>
  <si>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</si>
  <si>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</si>
  <si>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</si>
  <si>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</si>
  <si>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</si>
  <si>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</si>
  <si>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</si>
  <si>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</si>
  <si>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</si>
  <si>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</si>
  <si>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</si>
  <si>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</si>
  <si>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</si>
  <si>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</si>
  <si>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</si>
  <si>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</si>
  <si>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</si>
  <si>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</si>
  <si>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</si>
  <si>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</si>
  <si>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</si>
  <si>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</si>
  <si>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</si>
  <si>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</si>
  <si>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</si>
  <si>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</si>
  <si>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</si>
  <si>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</si>
  <si>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</si>
  <si>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</si>
  <si>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</si>
  <si>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</si>
  <si>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</si>
  <si>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</si>
  <si>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</si>
  <si>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</si>
  <si>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</si>
  <si>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</si>
  <si>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</si>
  <si>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</si>
  <si>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</si>
  <si>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</si>
  <si>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</si>
  <si>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</si>
  <si>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</si>
  <si>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</si>
  <si>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</si>
  <si>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</si>
  <si>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</si>
  <si>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</si>
  <si>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</si>
  <si>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</si>
  <si>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</si>
  <si>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</si>
  <si>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</si>
  <si>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</si>
  <si>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</si>
  <si>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</si>
  <si>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</si>
  <si>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</si>
  <si>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</si>
  <si>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</si>
  <si>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</si>
  <si>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</si>
  <si>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</si>
  <si>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</si>
  <si>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</si>
  <si>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</si>
  <si>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</si>
  <si>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</si>
  <si>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</si>
  <si>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</si>
  <si>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</si>
  <si>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</si>
  <si>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</si>
  <si>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</si>
  <si>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</si>
  <si>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</si>
  <si>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</si>
  <si>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</si>
  <si>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</si>
  <si>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</si>
  <si>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</si>
  <si>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</si>
  <si>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</si>
  <si>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</si>
  <si>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</si>
  <si>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</si>
  <si>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</si>
  <si>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</si>
  <si>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</si>
  <si>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</si>
  <si>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</si>
  <si>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</si>
  <si>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</si>
  <si>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</si>
  <si>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</si>
  <si>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</si>
  <si>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</si>
  <si>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</si>
  <si>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</si>
  <si>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</si>
  <si>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</si>
  <si>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</si>
  <si>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</si>
  <si>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</si>
  <si>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</si>
  <si>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</si>
  <si>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</si>
  <si>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</si>
  <si>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</si>
  <si>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</si>
  <si>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</si>
  <si>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</si>
  <si>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</si>
  <si>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</si>
  <si>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</si>
  <si>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</si>
  <si>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</si>
  <si>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</si>
  <si>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</si>
  <si>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</si>
  <si>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</si>
  <si>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</si>
  <si>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</si>
  <si>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</si>
  <si>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</si>
  <si>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</si>
  <si>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</si>
  <si>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</si>
  <si>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</si>
  <si>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</si>
  <si>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</si>
  <si>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</si>
  <si>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</si>
  <si>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</si>
  <si>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</si>
  <si>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</si>
  <si>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</si>
  <si>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</si>
  <si>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</si>
  <si>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</si>
  <si>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</si>
  <si>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</si>
  <si>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</si>
  <si>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</si>
  <si>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</si>
  <si>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</si>
  <si>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</si>
  <si>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</si>
  <si>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</si>
  <si>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</si>
  <si>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</si>
  <si>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</si>
  <si>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</si>
  <si>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</si>
  <si>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</si>
  <si>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</si>
  <si>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</si>
  <si>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</si>
  <si>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</si>
  <si>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</si>
  <si>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</si>
  <si>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</si>
  <si>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</si>
  <si>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</si>
  <si>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</si>
  <si>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</si>
  <si>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</si>
  <si>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</si>
  <si>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</si>
  <si>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</si>
  <si>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</si>
  <si>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</si>
  <si>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</si>
  <si>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</si>
  <si>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</si>
  <si>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</si>
  <si>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</si>
  <si>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</si>
  <si>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</si>
  <si>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</si>
  <si>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</si>
  <si>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</si>
  <si>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</si>
  <si>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</si>
  <si>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</si>
  <si>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</si>
  <si>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</si>
  <si>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</si>
  <si>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</si>
  <si>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</si>
  <si>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</si>
  <si>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</si>
  <si>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</si>
  <si>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</si>
  <si>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</si>
  <si>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</si>
  <si>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</si>
  <si>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</si>
  <si>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</si>
  <si>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</si>
  <si>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</si>
  <si>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</si>
  <si>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</si>
  <si>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</si>
  <si>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</si>
  <si>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</si>
  <si>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</si>
  <si>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</si>
  <si>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</si>
  <si>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</si>
  <si>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</si>
  <si>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</si>
  <si>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</si>
  <si>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</si>
  <si>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</si>
  <si>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</si>
  <si>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</si>
  <si>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</si>
  <si>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</si>
  <si>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</si>
  <si>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</si>
  <si>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</si>
  <si>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</si>
  <si>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</si>
  <si>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</si>
  <si>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</si>
  <si>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</si>
  <si>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</si>
  <si>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</si>
  <si>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</si>
  <si>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</si>
  <si>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</si>
  <si>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</si>
  <si>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</si>
  <si>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</si>
  <si>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</si>
  <si>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</si>
  <si>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</si>
  <si>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</si>
  <si>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</si>
  <si>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</si>
  <si>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</si>
  <si>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</si>
  <si>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</si>
  <si>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</si>
  <si>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</si>
  <si>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</si>
  <si>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</si>
  <si>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</si>
  <si>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</si>
  <si>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</si>
  <si>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</si>
  <si>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</si>
  <si>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</si>
  <si>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</si>
  <si>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</si>
  <si>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</si>
  <si>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</si>
  <si>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</si>
  <si>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</si>
  <si>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</si>
  <si>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</si>
  <si>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</si>
  <si>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</si>
  <si>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</si>
  <si>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</si>
  <si>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</si>
  <si>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</si>
  <si>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</si>
  <si>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</si>
  <si>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</si>
  <si>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</si>
  <si>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</si>
  <si>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</si>
  <si>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</si>
  <si>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</si>
  <si>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</si>
  <si>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</si>
  <si>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</si>
  <si>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</si>
  <si>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</si>
  <si>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</si>
  <si>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</si>
  <si>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</si>
  <si>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</si>
  <si>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</si>
  <si>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</si>
  <si>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</si>
  <si>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</si>
  <si>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</si>
  <si>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</si>
  <si>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</si>
  <si>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</si>
  <si>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</si>
  <si>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</si>
  <si>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</si>
  <si>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</si>
  <si>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</si>
  <si>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</si>
  <si>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</si>
  <si>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</si>
  <si>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</si>
  <si>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</si>
  <si>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</si>
  <si>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</si>
  <si>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</si>
  <si>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</si>
  <si>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</si>
  <si>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</si>
  <si>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</si>
  <si>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</si>
  <si>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</si>
  <si>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</si>
  <si>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</si>
  <si>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</si>
  <si>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</si>
  <si>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</si>
  <si>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</si>
  <si>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</si>
  <si>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</si>
  <si>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</si>
  <si>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</si>
  <si>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</si>
  <si>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</si>
  <si>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</si>
  <si>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</si>
  <si>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</si>
  <si>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</si>
  <si>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</si>
  <si>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</si>
  <si>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</si>
  <si>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</si>
  <si>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</si>
  <si>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</si>
  <si>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</si>
  <si>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</si>
  <si>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</si>
  <si>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</si>
  <si>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</si>
  <si>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</si>
  <si>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</si>
  <si>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</si>
  <si>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</si>
  <si>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</si>
  <si>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</si>
  <si>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</si>
  <si>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</si>
  <si>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</si>
  <si>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</si>
  <si>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</si>
  <si>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</si>
  <si>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</si>
  <si>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</si>
  <si>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</si>
  <si>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</si>
  <si>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</si>
  <si>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</si>
  <si>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</si>
  <si>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</si>
  <si>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</si>
  <si>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</si>
  <si>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</si>
  <si>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</si>
  <si>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</si>
  <si>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</si>
  <si>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</si>
  <si>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</si>
  <si>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</si>
  <si>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</si>
  <si>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</si>
  <si>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</si>
  <si>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</si>
  <si>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</si>
  <si>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</si>
  <si>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</si>
  <si>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</si>
  <si>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</si>
  <si>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</si>
  <si>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</si>
  <si>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</si>
  <si>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</si>
  <si>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</si>
  <si>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</si>
  <si>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</si>
  <si>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</si>
  <si>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</si>
  <si>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</si>
  <si>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</si>
  <si>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</si>
  <si>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</si>
  <si>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</si>
  <si>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</si>
  <si>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</si>
  <si>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</si>
  <si>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</si>
  <si>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</si>
  <si>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</si>
  <si>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</si>
  <si>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</si>
  <si>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</si>
  <si>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</si>
  <si>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</si>
  <si>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</si>
  <si>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</si>
  <si>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</si>
  <si>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</si>
  <si>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</si>
  <si>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</si>
  <si>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</si>
  <si>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</si>
  <si>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</si>
  <si>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</si>
  <si>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</si>
  <si>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</si>
  <si>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</si>
  <si>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</si>
  <si>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</si>
  <si>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</si>
  <si>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</si>
  <si>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</si>
  <si>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</si>
  <si>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</si>
  <si>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</si>
  <si>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</si>
  <si>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</si>
  <si>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</si>
  <si>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</si>
  <si>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</si>
  <si>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</si>
  <si>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</si>
  <si>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</si>
  <si>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</si>
  <si>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</si>
  <si>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</si>
  <si>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</si>
  <si>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</si>
  <si>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</si>
  <si>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</si>
  <si>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</si>
  <si>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</si>
  <si>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</si>
  <si>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</si>
  <si>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</si>
  <si>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</si>
  <si>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</si>
  <si>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</si>
  <si>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</si>
  <si>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</si>
  <si>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</si>
  <si>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</si>
  <si>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</si>
  <si>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</si>
  <si>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</si>
  <si>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</si>
  <si>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</si>
  <si>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</si>
  <si>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</si>
  <si>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</si>
  <si>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</si>
  <si>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</si>
  <si>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</si>
  <si>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</si>
  <si>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</si>
  <si>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</si>
  <si>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</si>
  <si>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</si>
  <si>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</si>
  <si>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</si>
  <si>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</si>
  <si>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</si>
  <si>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</si>
  <si>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</si>
  <si>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</si>
  <si>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</si>
  <si>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</si>
  <si>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</si>
  <si>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</si>
  <si>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</si>
  <si>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</si>
  <si>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</si>
  <si>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</si>
  <si>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</si>
  <si>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</si>
  <si>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</si>
  <si>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</si>
  <si>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</si>
  <si>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</si>
  <si>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</si>
  <si>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</si>
  <si>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</si>
  <si>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</si>
  <si>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</si>
  <si>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</si>
  <si>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</si>
  <si>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</si>
  <si>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</si>
  <si>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</si>
  <si>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</si>
  <si>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</si>
  <si>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</si>
  <si>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</si>
  <si>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</si>
  <si>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</si>
  <si>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</si>
  <si>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</si>
  <si>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</si>
  <si>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</si>
  <si>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</si>
  <si>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</si>
  <si>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</si>
  <si>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</si>
  <si>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</si>
  <si>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</si>
  <si>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</si>
  <si>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</si>
  <si>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</si>
  <si>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</si>
  <si>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</si>
  <si>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</si>
  <si>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</si>
  <si>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</si>
  <si>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</si>
  <si>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</si>
  <si>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</si>
  <si>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</si>
  <si>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</si>
  <si>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</si>
  <si>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</si>
  <si>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</si>
  <si>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</si>
  <si>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</si>
  <si>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</si>
  <si>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</si>
  <si>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</si>
  <si>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</si>
  <si>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</si>
  <si>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</si>
  <si>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</si>
  <si>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</si>
  <si>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</si>
  <si>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</si>
  <si>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</si>
  <si>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</si>
  <si>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</si>
  <si>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</si>
  <si>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</si>
  <si>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</si>
  <si>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</si>
  <si>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</si>
  <si>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</si>
  <si>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</si>
  <si>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</si>
  <si>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</si>
  <si>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</si>
  <si>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</si>
  <si>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</si>
  <si>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</si>
  <si>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</si>
  <si>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</si>
  <si>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</si>
  <si>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</si>
  <si>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</si>
  <si>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</si>
  <si>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</si>
  <si>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</si>
  <si>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</si>
  <si>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</si>
  <si>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</si>
  <si>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</si>
  <si>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</si>
  <si>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</si>
  <si>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</si>
  <si>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</si>
  <si>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</si>
  <si>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</si>
  <si>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</si>
  <si>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</si>
  <si>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</si>
  <si>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</si>
  <si>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</si>
  <si>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</si>
  <si>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</si>
  <si>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</si>
  <si>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</si>
  <si>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</si>
  <si>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</si>
  <si>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</si>
  <si>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</si>
  <si>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</si>
  <si>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</si>
  <si>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</si>
  <si>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</si>
  <si>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</si>
  <si>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</si>
  <si>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</si>
  <si>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</si>
  <si>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</si>
  <si>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</si>
  <si>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</si>
  <si>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</si>
  <si>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</si>
  <si>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</si>
  <si>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</si>
  <si>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</si>
  <si>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</si>
  <si>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</si>
  <si>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</si>
  <si>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</si>
  <si>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</si>
  <si>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</si>
  <si>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</si>
  <si>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</si>
  <si>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</si>
  <si>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</si>
  <si>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</si>
  <si>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</si>
  <si>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</si>
  <si>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</si>
  <si>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</si>
  <si>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</si>
  <si>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</si>
  <si>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</si>
  <si>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</si>
  <si>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</si>
  <si>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</si>
  <si>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</si>
  <si>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</si>
  <si>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</si>
  <si>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</si>
  <si>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</si>
  <si>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</si>
  <si>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</si>
  <si>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</si>
  <si>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</si>
  <si>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</si>
  <si>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</si>
  <si>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</si>
  <si>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</si>
  <si>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</si>
  <si>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</si>
  <si>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</si>
  <si>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</si>
  <si>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</si>
  <si>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</si>
  <si>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</si>
  <si>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</si>
  <si>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</si>
  <si>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</si>
  <si>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</si>
  <si>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</si>
  <si>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</si>
  <si>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</si>
  <si>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</si>
  <si>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</si>
  <si>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</si>
  <si>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</si>
  <si>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</si>
  <si>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</si>
  <si>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</si>
  <si>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</si>
  <si>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</si>
  <si>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</si>
  <si>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</si>
  <si>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</si>
  <si>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</si>
  <si>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</si>
  <si>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</si>
  <si>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</si>
  <si>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</si>
  <si>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</si>
  <si>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</si>
  <si>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</si>
  <si>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</si>
  <si>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</si>
  <si>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</si>
  <si>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</si>
  <si>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</si>
  <si>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</si>
  <si>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</si>
  <si>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</si>
  <si>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</si>
  <si>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</si>
  <si>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</si>
  <si>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</si>
  <si>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</si>
  <si>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</si>
  <si>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</si>
  <si>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</si>
  <si>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</si>
  <si>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</si>
  <si>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</si>
  <si>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</si>
  <si>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</si>
  <si>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</si>
  <si>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</si>
  <si>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</si>
  <si>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</si>
  <si>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</si>
  <si>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</si>
  <si>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</si>
  <si>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</si>
  <si>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</si>
  <si>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</si>
  <si>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</si>
  <si>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</si>
  <si>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</si>
  <si>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</si>
  <si>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</si>
  <si>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</si>
  <si>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</si>
  <si>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</si>
  <si>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</si>
  <si>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</si>
  <si>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</si>
  <si>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</si>
  <si>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</si>
  <si>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</si>
  <si>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</si>
  <si>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</si>
  <si>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</si>
  <si>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</si>
  <si>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</si>
  <si>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</si>
  <si>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</si>
  <si>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</si>
  <si>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</si>
  <si>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</si>
  <si>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</si>
  <si>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</si>
  <si>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</si>
  <si>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</si>
  <si>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</si>
  <si>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</si>
  <si>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</si>
  <si>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</si>
  <si>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</si>
  <si>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</si>
  <si>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</si>
  <si>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</si>
  <si>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</si>
  <si>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</si>
  <si>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</si>
  <si>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</si>
  <si>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</si>
  <si>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</si>
  <si>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</si>
  <si>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</si>
  <si>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</si>
  <si>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</si>
  <si>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</si>
  <si>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</si>
  <si>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</si>
  <si>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</si>
  <si>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</si>
  <si>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</si>
  <si>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</si>
  <si>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</si>
  <si>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</si>
  <si>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</si>
  <si>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</si>
  <si>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</si>
  <si>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</si>
  <si>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</si>
  <si>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</si>
  <si>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</si>
  <si>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</si>
  <si>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</si>
  <si>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</si>
  <si>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</si>
  <si>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</si>
  <si>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</si>
  <si>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</si>
  <si>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</si>
  <si>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</si>
  <si>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</si>
  <si>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</si>
  <si>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</si>
  <si>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</si>
  <si>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</si>
  <si>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</si>
  <si>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</si>
  <si>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</si>
  <si>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</si>
  <si>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</si>
  <si>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</si>
  <si>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</si>
  <si>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</si>
  <si>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</si>
  <si>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</si>
  <si>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</si>
  <si>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</si>
  <si>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</si>
  <si>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</si>
  <si>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</si>
  <si>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</si>
  <si>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</si>
  <si>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</si>
  <si>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</si>
  <si>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</si>
  <si>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</si>
  <si>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</si>
  <si>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</si>
  <si>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</si>
  <si>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</si>
  <si>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</si>
  <si>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</si>
  <si>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</si>
  <si>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</si>
  <si>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</si>
  <si>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</si>
  <si>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</si>
  <si>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</si>
  <si>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</si>
  <si>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</si>
  <si>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</si>
  <si>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</si>
  <si>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</si>
  <si>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</si>
  <si>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</si>
  <si>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</si>
  <si>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</si>
  <si>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</si>
  <si>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</si>
  <si>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</si>
  <si>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</si>
  <si>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</si>
  <si>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</si>
  <si>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</si>
  <si>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</si>
  <si>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</si>
  <si>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</si>
  <si>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</si>
  <si>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</si>
  <si>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</si>
  <si>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</si>
  <si>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</si>
  <si>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</si>
  <si>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</si>
  <si>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</si>
  <si>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</si>
  <si>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</si>
  <si>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</si>
  <si>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</si>
  <si>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</si>
  <si>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</si>
  <si>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</si>
  <si>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</si>
  <si>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</si>
  <si>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</si>
  <si>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</si>
  <si>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</si>
  <si>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</si>
  <si>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</si>
  <si>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</si>
  <si>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</si>
  <si>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</si>
  <si>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</si>
  <si>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</si>
  <si>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</si>
  <si>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</si>
  <si>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</si>
  <si>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</si>
  <si>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</si>
  <si>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</si>
  <si>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</si>
  <si>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</si>
  <si>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</si>
  <si>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</si>
  <si>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</si>
  <si>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</si>
  <si>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</si>
  <si>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</si>
  <si>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</si>
  <si>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</si>
  <si>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</si>
  <si>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</si>
  <si>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</si>
  <si>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</si>
  <si>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</si>
  <si>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</si>
  <si>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</si>
  <si>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</si>
  <si>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</si>
  <si>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</si>
  <si>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</si>
  <si>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</si>
  <si>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</si>
  <si>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</si>
  <si>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</si>
  <si>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</si>
  <si>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</si>
  <si>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</si>
  <si>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</si>
  <si>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</si>
  <si>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</si>
  <si>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</si>
  <si>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</si>
  <si>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</si>
  <si>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</si>
  <si>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</si>
  <si>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</si>
  <si>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</si>
  <si>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</si>
  <si>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</si>
  <si>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</si>
  <si>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</si>
  <si>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</si>
  <si>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</si>
  <si>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</si>
  <si>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</si>
  <si>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</si>
  <si>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</si>
  <si>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</si>
  <si>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</si>
  <si>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</si>
  <si>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</si>
  <si>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</si>
  <si>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</si>
  <si>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</si>
  <si>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</si>
  <si>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</si>
  <si>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</si>
  <si>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</si>
  <si>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</si>
  <si>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</si>
  <si>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</si>
  <si>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</si>
  <si>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</si>
  <si>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</si>
  <si>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</si>
  <si>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</si>
  <si>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</si>
  <si>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</si>
  <si>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</si>
  <si>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</si>
  <si>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</si>
  <si>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</si>
  <si>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</si>
  <si>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</si>
  <si>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</si>
  <si>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</si>
  <si>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</si>
  <si>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</si>
  <si>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</si>
  <si>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</si>
  <si>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</si>
  <si>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</si>
  <si>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</si>
  <si>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</si>
  <si>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</si>
  <si>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</si>
  <si>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</si>
  <si>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</si>
  <si>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</si>
  <si>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</si>
  <si>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</si>
  <si>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</si>
  <si>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</si>
  <si>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</si>
  <si>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</si>
  <si>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</si>
  <si>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</si>
  <si>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</si>
  <si>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</si>
  <si>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</si>
  <si>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</si>
  <si>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</si>
  <si>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</si>
  <si>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</si>
  <si>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</si>
  <si>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</si>
  <si>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</si>
  <si>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</si>
  <si>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</si>
  <si>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</si>
  <si>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</si>
  <si>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</si>
  <si>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</si>
  <si>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</si>
  <si>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</si>
  <si>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</si>
  <si>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</si>
  <si>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</si>
  <si>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</si>
  <si>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</si>
  <si>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</si>
  <si>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</si>
  <si>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</si>
  <si>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</si>
  <si>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</si>
  <si>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</si>
  <si>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</si>
  <si>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</si>
  <si>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</si>
  <si>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</si>
  <si>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</si>
  <si>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</si>
  <si>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</si>
  <si>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</si>
  <si>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</si>
  <si>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</si>
  <si>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</si>
  <si>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</si>
  <si>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</si>
  <si>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</si>
  <si>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</si>
  <si>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</si>
  <si>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</si>
  <si>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</si>
  <si>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</si>
  <si>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</si>
  <si>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</si>
  <si>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</si>
  <si>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</si>
  <si>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</si>
  <si>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</si>
  <si>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</si>
  <si>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</si>
  <si>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</si>
  <si>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</si>
  <si>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</si>
  <si>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</si>
  <si>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</si>
  <si>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</si>
  <si>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</si>
  <si>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</si>
  <si>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</si>
  <si>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</si>
  <si>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</si>
  <si>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</si>
  <si>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</si>
  <si>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</si>
  <si>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</si>
  <si>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</si>
  <si>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</si>
  <si>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</si>
  <si>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</si>
  <si>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</si>
  <si>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</si>
  <si>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</si>
  <si>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</si>
  <si>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</si>
  <si>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</si>
  <si>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</si>
  <si>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</si>
  <si>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</si>
  <si>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</si>
  <si>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</si>
  <si>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</si>
  <si>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</si>
  <si>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</si>
  <si>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</si>
  <si>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</si>
  <si>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</si>
  <si>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</si>
  <si>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</si>
  <si>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</si>
  <si>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</si>
  <si>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</si>
  <si>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</si>
  <si>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</si>
  <si>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</si>
  <si>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</si>
  <si>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</si>
  <si>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</si>
  <si>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</si>
  <si>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</si>
  <si>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</si>
  <si>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</si>
  <si>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</si>
  <si>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</si>
  <si>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</si>
  <si>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</si>
  <si>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</si>
  <si>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</si>
  <si>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</si>
  <si>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</si>
  <si>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</si>
  <si>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</si>
  <si>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</si>
  <si>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</si>
  <si>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</si>
  <si>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</si>
  <si>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</si>
  <si>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</si>
  <si>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</si>
  <si>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</si>
  <si>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</si>
  <si>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</si>
  <si>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</si>
  <si>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</si>
  <si>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</si>
  <si>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</si>
  <si>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</si>
  <si>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</si>
  <si>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</si>
  <si>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</si>
  <si>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</si>
  <si>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</si>
  <si>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</si>
  <si>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</si>
  <si>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</si>
  <si>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</si>
  <si>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</si>
  <si>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</si>
  <si>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</si>
  <si>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</si>
  <si>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</si>
  <si>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</si>
  <si>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</si>
  <si>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</si>
  <si>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</si>
  <si>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</si>
  <si>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</si>
  <si>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</si>
  <si>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</si>
  <si>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</si>
  <si>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</si>
  <si>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</si>
  <si>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</si>
  <si>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</si>
  <si>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</si>
  <si>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</si>
  <si>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</si>
  <si>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</si>
  <si>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</si>
  <si>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</si>
  <si>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</si>
  <si>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</si>
  <si>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</si>
  <si>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</si>
  <si>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</si>
  <si>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</si>
  <si>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</si>
  <si>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</si>
  <si>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</si>
  <si>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</si>
  <si>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</si>
  <si>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</si>
  <si>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</si>
  <si>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</si>
  <si>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</si>
  <si>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</si>
  <si>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</si>
  <si>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</si>
  <si>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</si>
  <si>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</si>
  <si>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</si>
  <si>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</si>
  <si>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</si>
  <si>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</si>
  <si>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</si>
  <si>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</si>
  <si>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</si>
  <si>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</si>
  <si>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</si>
  <si>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</si>
  <si>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</si>
  <si>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</si>
  <si>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</si>
  <si>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</si>
  <si>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</si>
  <si>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</si>
  <si>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</si>
  <si>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</si>
  <si>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</si>
  <si>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</si>
  <si>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</si>
  <si>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</si>
  <si>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</si>
  <si>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</si>
  <si>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</si>
  <si>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</si>
  <si>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</si>
  <si>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</si>
  <si>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</si>
  <si>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</si>
  <si>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</si>
  <si>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</si>
  <si>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</si>
  <si>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</si>
  <si>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</si>
  <si>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</si>
  <si>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</si>
  <si>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</si>
  <si>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</si>
  <si>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</si>
  <si>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</si>
  <si>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</si>
  <si>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</si>
  <si>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</si>
  <si>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</si>
  <si>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</si>
  <si>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</si>
  <si>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</si>
  <si>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</si>
  <si>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</si>
  <si>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</si>
  <si>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</si>
  <si>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</si>
  <si>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</si>
  <si>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</si>
  <si>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</si>
  <si>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</si>
  <si>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</si>
  <si>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</si>
  <si>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</si>
  <si>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</si>
  <si>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</si>
  <si>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</si>
  <si>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</si>
  <si>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</si>
  <si>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</si>
  <si>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</si>
  <si>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</si>
  <si>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</si>
  <si>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</si>
  <si>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</si>
  <si>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</si>
  <si>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</si>
  <si>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</si>
  <si>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</si>
  <si>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</si>
  <si>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</si>
  <si>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</si>
  <si>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</si>
  <si>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</si>
  <si>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</si>
  <si>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</si>
  <si>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</si>
  <si>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</si>
  <si>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</si>
  <si>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</si>
  <si>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</si>
  <si>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</si>
  <si>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</si>
  <si>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</si>
  <si>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</si>
  <si>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</si>
  <si>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</si>
  <si>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</si>
  <si>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</si>
  <si>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</si>
  <si>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</si>
  <si>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</si>
  <si>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</si>
  <si>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</si>
  <si>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</si>
  <si>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</si>
  <si>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</si>
  <si>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</si>
  <si>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</si>
  <si>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</si>
  <si>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</si>
  <si>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</si>
  <si>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</si>
  <si>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</si>
  <si>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</si>
  <si>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</si>
  <si>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</si>
  <si>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</si>
  <si>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</si>
  <si>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</si>
  <si>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</si>
  <si>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</si>
  <si>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</si>
  <si>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</si>
  <si>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</si>
  <si>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</si>
  <si>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</si>
  <si>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</si>
  <si>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</si>
  <si>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</si>
  <si>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</si>
  <si>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</si>
  <si>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</si>
  <si>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</si>
  <si>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</si>
  <si>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</si>
  <si>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</si>
  <si>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</si>
  <si>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</si>
  <si>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</si>
  <si>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</si>
  <si>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</si>
  <si>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</si>
  <si>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</si>
  <si>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</si>
  <si>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</si>
  <si>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</si>
  <si>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</si>
  <si>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</si>
  <si>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</si>
  <si>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</si>
  <si>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</si>
  <si>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</si>
  <si>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</si>
  <si>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</si>
  <si>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</si>
  <si>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</si>
  <si>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</si>
  <si>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</si>
  <si>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</si>
  <si>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</si>
  <si>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</si>
  <si>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</si>
  <si>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</si>
  <si>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</si>
  <si>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</si>
  <si>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</si>
  <si>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</si>
  <si>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</si>
  <si>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</si>
  <si>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</si>
  <si>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</si>
  <si>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</si>
  <si>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</si>
  <si>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</si>
  <si>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</si>
  <si>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</si>
  <si>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</si>
  <si>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</si>
  <si>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</si>
  <si>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</si>
  <si>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</si>
  <si>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</si>
  <si>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</si>
  <si>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</si>
  <si>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</si>
  <si>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</si>
  <si>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</si>
  <si>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</si>
  <si>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</si>
  <si>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</si>
  <si>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</si>
  <si>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</si>
  <si>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</si>
  <si>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</si>
  <si>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</si>
  <si>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</si>
  <si>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</si>
  <si>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</si>
  <si>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</si>
  <si>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</si>
  <si>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</si>
  <si>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</si>
  <si>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</si>
  <si>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</si>
  <si>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</si>
  <si>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</si>
  <si>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</si>
  <si>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</si>
  <si>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</si>
  <si>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</si>
  <si>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</si>
  <si>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</si>
  <si>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</si>
  <si>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</si>
  <si>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</si>
  <si>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</si>
  <si>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</si>
  <si>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</si>
  <si>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</si>
  <si>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</si>
  <si>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</si>
  <si>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</si>
  <si>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</si>
  <si>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</si>
  <si>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</si>
  <si>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</si>
  <si>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</si>
  <si>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</si>
  <si>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</si>
  <si>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</si>
  <si>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</si>
  <si>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</si>
  <si>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</si>
  <si>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</si>
  <si>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</si>
  <si>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</si>
  <si>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</si>
  <si>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</si>
  <si>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</si>
  <si>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</si>
  <si>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</si>
  <si>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</si>
  <si>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</si>
  <si>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</si>
  <si>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</si>
  <si>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</si>
  <si>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</si>
  <si>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</si>
  <si>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</si>
  <si>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</si>
  <si>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</si>
  <si>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</si>
  <si>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</si>
  <si>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</si>
  <si>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</si>
  <si>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</si>
  <si>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</si>
  <si>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</si>
  <si>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</si>
  <si>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</si>
  <si>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</si>
  <si>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</si>
  <si>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</si>
  <si>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</si>
  <si>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</si>
  <si>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</si>
  <si>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</si>
  <si>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</si>
  <si>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</si>
  <si>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</si>
  <si>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</si>
  <si>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</si>
  <si>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</si>
  <si>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</si>
  <si>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</si>
  <si>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</si>
  <si>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</si>
  <si>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</si>
  <si>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</si>
  <si>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</si>
  <si>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</si>
  <si>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</si>
  <si>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</si>
  <si>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</si>
  <si>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</si>
  <si>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</si>
  <si>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</si>
  <si>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</si>
  <si>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</si>
  <si>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</si>
  <si>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</si>
  <si>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</si>
  <si>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</si>
  <si>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</si>
  <si>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</si>
  <si>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</si>
  <si>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</si>
  <si>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</si>
  <si>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</si>
  <si>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</si>
  <si>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</si>
  <si>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</si>
  <si>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</si>
  <si>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</si>
  <si>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</si>
  <si>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</si>
  <si>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</si>
  <si>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</si>
  <si>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</si>
  <si>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</si>
  <si>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</si>
  <si>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</si>
  <si>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</si>
  <si>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</si>
  <si>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</si>
  <si>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</si>
  <si>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</si>
  <si>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</si>
  <si>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</si>
  <si>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</si>
  <si>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</si>
  <si>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</si>
  <si>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</si>
  <si>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</si>
  <si>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</si>
  <si>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</si>
  <si>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</si>
  <si>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</si>
  <si>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</si>
  <si>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</si>
  <si>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</si>
  <si>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</si>
  <si>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</si>
  <si>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</si>
  <si>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</si>
  <si>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</si>
  <si>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</si>
  <si>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</si>
  <si>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</si>
  <si>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</si>
  <si>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</si>
  <si>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</si>
  <si>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</si>
  <si>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</si>
  <si>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</si>
  <si>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</si>
  <si>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</si>
  <si>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</si>
  <si>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</si>
  <si>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</si>
  <si>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</si>
  <si>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</si>
  <si>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</si>
  <si>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</si>
  <si>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</si>
  <si>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</si>
  <si>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</si>
  <si>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</si>
  <si>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</si>
  <si>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</si>
  <si>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</si>
  <si>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</si>
  <si>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</si>
  <si>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</si>
  <si>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</si>
  <si>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</si>
  <si>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</si>
  <si>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</si>
  <si>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</si>
  <si>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</si>
  <si>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</si>
  <si>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</si>
  <si>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</si>
  <si>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</si>
  <si>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</si>
  <si>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</si>
  <si>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</si>
  <si>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</si>
  <si>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</si>
  <si>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</si>
  <si>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</si>
  <si>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</si>
  <si>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</si>
  <si>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</si>
  <si>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</si>
  <si>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</si>
  <si>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</si>
  <si>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</si>
  <si>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</si>
  <si>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</si>
  <si>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</si>
  <si>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</si>
  <si>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</si>
  <si>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</si>
  <si>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</si>
  <si>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</si>
  <si>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</si>
  <si>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</si>
  <si>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</si>
  <si>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</si>
  <si>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</si>
  <si>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</si>
  <si>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</si>
  <si>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</si>
  <si>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</si>
  <si>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</si>
  <si>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</si>
  <si>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</si>
  <si>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</si>
  <si>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</si>
  <si>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</si>
  <si>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</si>
  <si>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</si>
  <si>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</si>
  <si>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</si>
  <si>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</si>
  <si>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</si>
  <si>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</si>
  <si>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</si>
  <si>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</si>
  <si>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</si>
  <si>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</si>
  <si>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</si>
  <si>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</si>
  <si>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</si>
  <si>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</si>
  <si>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</si>
  <si>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</si>
  <si>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</si>
  <si>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</si>
  <si>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</si>
  <si>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</si>
  <si>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</si>
  <si>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</si>
  <si>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</si>
  <si>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</si>
  <si>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</si>
  <si>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</si>
  <si>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</si>
  <si>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</si>
  <si>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</si>
  <si>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</si>
  <si>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</si>
  <si>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</si>
  <si>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</si>
  <si>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</si>
  <si>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</si>
  <si>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</si>
  <si>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</si>
  <si>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</si>
  <si>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</si>
  <si>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</si>
  <si>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</si>
  <si>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</si>
  <si>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</si>
  <si>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</si>
  <si>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</si>
  <si>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</si>
  <si>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</si>
  <si>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</si>
  <si>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</si>
  <si>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</si>
  <si>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</si>
  <si>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</si>
  <si>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</si>
  <si>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</si>
  <si>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</si>
  <si>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</si>
  <si>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</si>
  <si>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</si>
  <si>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</si>
  <si>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</si>
  <si>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</si>
  <si>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</si>
  <si>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</si>
  <si>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</si>
  <si>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</si>
  <si>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</si>
  <si>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</si>
  <si>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</si>
  <si>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</si>
  <si>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</si>
  <si>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</si>
  <si>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</si>
  <si>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</si>
  <si>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</si>
  <si>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</si>
  <si>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</si>
  <si>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</si>
  <si>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</si>
  <si>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</si>
  <si>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</si>
  <si>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</si>
  <si>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</si>
  <si>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</si>
  <si>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</si>
  <si>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</si>
  <si>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</si>
  <si>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</si>
  <si>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</si>
  <si>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</si>
  <si>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</si>
  <si>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</si>
  <si>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</si>
  <si>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</si>
  <si>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</si>
  <si>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</si>
  <si>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</si>
  <si>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</si>
  <si>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</si>
  <si>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</si>
  <si>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</si>
  <si>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</si>
  <si>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</si>
  <si>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</si>
  <si>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</si>
  <si>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</si>
  <si>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</si>
  <si>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</si>
  <si>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</si>
  <si>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</si>
  <si>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</si>
  <si>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</si>
  <si>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</si>
  <si>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</si>
  <si>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</si>
  <si>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</si>
  <si>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</si>
  <si>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</si>
  <si>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</si>
  <si>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</si>
  <si>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</si>
  <si>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</si>
  <si>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</si>
  <si>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</si>
  <si>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</si>
  <si>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</si>
  <si>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</si>
  <si>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</si>
  <si>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</si>
  <si>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</si>
  <si>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</si>
  <si>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</si>
  <si>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</si>
  <si>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</si>
  <si>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</si>
  <si>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</si>
  <si>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</si>
  <si>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</si>
  <si>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</si>
  <si>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</si>
  <si>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</si>
  <si>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</si>
  <si>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</si>
  <si>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</si>
  <si>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</si>
  <si>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</si>
  <si>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</si>
  <si>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</si>
  <si>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</si>
  <si>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</si>
  <si>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</si>
  <si>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</si>
  <si>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</si>
  <si>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</si>
  <si>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</si>
  <si>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</si>
  <si>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</si>
  <si>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</si>
  <si>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</si>
  <si>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</si>
  <si>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</si>
  <si>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</si>
  <si>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</si>
  <si>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</si>
  <si>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</si>
  <si>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</si>
  <si>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</si>
  <si>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</si>
  <si>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</si>
  <si>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</si>
  <si>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</si>
  <si>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</si>
  <si>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</si>
  <si>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</si>
  <si>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</si>
  <si>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</si>
  <si>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</si>
  <si>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</si>
  <si>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</si>
  <si>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</si>
  <si>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</si>
  <si>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</si>
  <si>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</si>
  <si>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</si>
  <si>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</si>
  <si>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</si>
  <si>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</si>
  <si>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</si>
  <si>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</si>
  <si>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</si>
  <si>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</si>
  <si>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</si>
  <si>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</si>
  <si>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</si>
  <si>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</si>
  <si>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</si>
  <si>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</si>
  <si>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</si>
  <si>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</si>
  <si>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</si>
  <si>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</si>
  <si>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</si>
  <si>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</si>
  <si>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</si>
  <si>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</si>
  <si>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</si>
  <si>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</si>
  <si>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</si>
  <si>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</si>
  <si>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</si>
  <si>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</si>
  <si>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</si>
  <si>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</si>
  <si>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</si>
  <si>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</si>
  <si>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</si>
  <si>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</si>
  <si>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</si>
  <si>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</si>
  <si>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</si>
  <si>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</si>
  <si>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</si>
  <si>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</si>
  <si>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</si>
  <si>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</si>
  <si>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</si>
  <si>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</si>
  <si>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</si>
  <si>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</si>
  <si>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</si>
  <si>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</si>
  <si>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</si>
  <si>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</si>
  <si>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</si>
  <si>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</si>
  <si>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</si>
  <si>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</si>
  <si>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</si>
  <si>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</si>
  <si>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</si>
  <si>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</si>
  <si>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</si>
  <si>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</si>
  <si>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</si>
  <si>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</si>
  <si>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</si>
  <si>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</si>
  <si>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</si>
  <si>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</si>
  <si>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</si>
  <si>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</si>
  <si>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</si>
  <si>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</si>
  <si>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</si>
  <si>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</si>
  <si>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</si>
  <si>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</si>
  <si>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</si>
  <si>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</si>
  <si>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</si>
  <si>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</si>
  <si>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</si>
  <si>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</si>
  <si>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</si>
  <si>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</si>
  <si>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</si>
  <si>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</si>
  <si>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</si>
  <si>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</si>
  <si>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</si>
  <si>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</si>
  <si>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</si>
  <si>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</si>
  <si>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</si>
  <si>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</si>
  <si>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</si>
  <si>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</si>
  <si>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</si>
  <si>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</si>
  <si>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</si>
  <si>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</si>
  <si>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</si>
  <si>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</si>
  <si>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</si>
  <si>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</si>
  <si>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</si>
  <si>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</si>
  <si>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</si>
  <si>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</si>
  <si>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</si>
  <si>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</si>
  <si>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</si>
  <si>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</si>
  <si>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</si>
  <si>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</si>
  <si>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</si>
  <si>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</si>
  <si>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</si>
  <si>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</si>
  <si>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</si>
  <si>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</si>
  <si>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</si>
  <si>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</si>
  <si>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</si>
  <si>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</si>
  <si>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</si>
  <si>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</si>
  <si>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</si>
  <si>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</si>
  <si>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</si>
  <si>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</si>
  <si>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</si>
  <si>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</si>
  <si>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</si>
  <si>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</si>
  <si>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</si>
  <si>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</si>
  <si>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</si>
  <si>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</si>
  <si>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</si>
  <si>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</si>
  <si>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</si>
  <si>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</si>
  <si>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</si>
  <si>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</si>
  <si>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</si>
  <si>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</si>
  <si>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</si>
  <si>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</si>
  <si>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</si>
  <si>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</si>
  <si>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</si>
  <si>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</si>
  <si>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</si>
  <si>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</si>
  <si>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</si>
  <si>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</si>
  <si>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</si>
  <si>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</si>
  <si>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</si>
  <si>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</si>
  <si>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</si>
  <si>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</si>
  <si>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</si>
  <si>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</si>
  <si>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</si>
  <si>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</si>
  <si>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</si>
  <si>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</si>
  <si>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</si>
  <si>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</si>
  <si>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</si>
  <si>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</si>
  <si>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</si>
  <si>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</si>
  <si>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</si>
  <si>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</si>
  <si>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</si>
  <si>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</si>
  <si>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</si>
  <si>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</si>
  <si>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</si>
  <si>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</si>
  <si>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</si>
  <si>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</si>
  <si>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</si>
  <si>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</si>
  <si>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</si>
  <si>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</si>
  <si>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</si>
  <si>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</si>
  <si>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</si>
  <si>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</si>
  <si>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</si>
  <si>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</si>
  <si>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</si>
  <si>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</si>
  <si>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</si>
  <si>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</si>
  <si>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</si>
  <si>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</si>
  <si>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</si>
  <si>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</si>
  <si>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</si>
  <si>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</si>
  <si>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</si>
  <si>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</si>
  <si>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</si>
  <si>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</si>
  <si>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</si>
  <si>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</si>
  <si>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</si>
  <si>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</si>
  <si>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</si>
  <si>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</si>
  <si>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</si>
  <si>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</si>
  <si>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</si>
  <si>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</si>
  <si>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</si>
  <si>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</si>
  <si>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</si>
  <si>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</si>
  <si>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</si>
  <si>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</si>
  <si>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</si>
  <si>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</si>
  <si>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</si>
  <si>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</si>
  <si>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</si>
  <si>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</si>
  <si>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</si>
  <si>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</si>
  <si>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</si>
  <si>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</si>
  <si>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</si>
  <si>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</si>
  <si>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</si>
  <si>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</si>
  <si>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</si>
  <si>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</si>
  <si>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</si>
  <si>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</si>
  <si>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</si>
  <si>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</si>
  <si>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</si>
  <si>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</si>
  <si>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</si>
  <si>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</si>
  <si>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</si>
  <si>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</si>
  <si>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</si>
  <si>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</si>
  <si>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</si>
  <si>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</si>
  <si>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</si>
  <si>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</si>
  <si>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</si>
  <si>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</si>
  <si>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</si>
  <si>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</si>
  <si>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</si>
  <si>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</si>
  <si>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</si>
  <si>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</si>
  <si>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</si>
  <si>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</si>
  <si>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</si>
  <si>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</si>
  <si>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</si>
  <si>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</si>
  <si>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</si>
  <si>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</si>
  <si>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</si>
  <si>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</si>
  <si>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</si>
  <si>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</si>
  <si>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</si>
  <si>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</si>
  <si>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</si>
  <si>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</si>
  <si>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</si>
  <si>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</si>
  <si>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</si>
  <si>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</si>
  <si>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</si>
  <si>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</si>
  <si>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</si>
  <si>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</si>
  <si>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</si>
  <si>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</si>
  <si>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</si>
  <si>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</si>
  <si>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</si>
  <si>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</si>
  <si>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</si>
  <si>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</si>
  <si>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</si>
  <si>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</si>
  <si>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</si>
  <si>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</si>
  <si>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</si>
  <si>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</si>
  <si>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</si>
  <si>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</si>
  <si>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</si>
  <si>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</si>
  <si>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</si>
  <si>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</si>
  <si>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</si>
  <si>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</si>
  <si>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</si>
  <si>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</si>
  <si>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</si>
  <si>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</si>
  <si>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</si>
  <si>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</si>
  <si>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</si>
  <si>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</si>
  <si>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</si>
  <si>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</si>
  <si>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</si>
  <si>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</si>
  <si>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</si>
  <si>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</si>
  <si>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</si>
  <si>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</si>
  <si>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</si>
  <si>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</si>
  <si>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</si>
  <si>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</si>
  <si>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</si>
  <si>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</si>
  <si>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</si>
  <si>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</si>
  <si>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</si>
  <si>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</si>
  <si>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</si>
  <si>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</si>
  <si>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</si>
  <si>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</si>
  <si>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</si>
  <si>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</si>
  <si>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</si>
  <si>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</si>
  <si>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</si>
  <si>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</si>
  <si>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</si>
  <si>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</si>
  <si>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</si>
  <si>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</si>
  <si>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</si>
  <si>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</si>
  <si>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</si>
  <si>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</si>
  <si>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</si>
  <si>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</si>
  <si>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</si>
  <si>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</si>
  <si>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</si>
  <si>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</si>
  <si>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</si>
  <si>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</si>
  <si>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</si>
  <si>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</si>
  <si>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</si>
  <si>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</si>
  <si>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</si>
  <si>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</si>
  <si>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</si>
  <si>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</si>
  <si>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</si>
  <si>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</si>
  <si>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</si>
  <si>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</si>
  <si>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</si>
  <si>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</si>
  <si>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</si>
  <si>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</si>
  <si>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</si>
  <si>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</si>
  <si>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</si>
  <si>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</si>
  <si>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</si>
  <si>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</si>
  <si>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</si>
  <si>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</si>
  <si>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</si>
  <si>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</si>
  <si>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</si>
  <si>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</si>
  <si>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</si>
  <si>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</si>
  <si>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</si>
  <si>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</si>
  <si>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</si>
  <si>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</si>
  <si>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</si>
  <si>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</si>
  <si>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</si>
  <si>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</si>
  <si>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</si>
  <si>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</si>
  <si>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</si>
  <si>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</si>
  <si>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</si>
  <si>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</si>
  <si>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</si>
  <si>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</si>
  <si>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</si>
  <si>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</si>
  <si>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</si>
  <si>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</si>
  <si>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</si>
  <si>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</si>
  <si>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</si>
  <si>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</si>
  <si>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</si>
  <si>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</si>
  <si>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</si>
  <si>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</si>
  <si>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</si>
  <si>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</si>
  <si>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</si>
  <si>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</si>
  <si>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</si>
  <si>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</si>
  <si>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</si>
  <si>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</si>
  <si>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</si>
  <si>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</si>
  <si>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</si>
  <si>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</si>
  <si>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</si>
  <si>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</si>
  <si>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</si>
  <si>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</si>
  <si>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</si>
  <si>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</si>
  <si>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</si>
  <si>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</si>
  <si>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</si>
  <si>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</si>
  <si>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</si>
  <si>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</si>
  <si>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</si>
  <si>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</si>
  <si>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</si>
  <si>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</si>
  <si>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</si>
  <si>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</si>
  <si>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</si>
  <si>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</si>
  <si>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</si>
  <si>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</si>
  <si>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</si>
  <si>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</si>
  <si>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</si>
  <si>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</si>
  <si>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</si>
  <si>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</si>
  <si>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</si>
  <si>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</si>
  <si>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</si>
  <si>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</si>
  <si>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</si>
  <si>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</si>
  <si>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</si>
  <si>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</si>
  <si>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</si>
  <si>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</si>
  <si>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</si>
  <si>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</si>
  <si>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</si>
  <si>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</si>
  <si>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</si>
  <si>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</si>
  <si>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</si>
  <si>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</si>
  <si>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</si>
  <si>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</si>
  <si>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</si>
  <si>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</si>
  <si>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</si>
  <si>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</si>
  <si>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</si>
  <si>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</si>
  <si>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</si>
  <si>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</si>
  <si>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</si>
  <si>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</si>
  <si>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</si>
  <si>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</si>
  <si>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</si>
  <si>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</si>
  <si>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</si>
  <si>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</si>
  <si>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</si>
  <si>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</si>
  <si>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</si>
  <si>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</si>
  <si>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</si>
  <si>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</si>
  <si>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</si>
  <si>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</si>
  <si>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</si>
  <si>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</si>
  <si>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</si>
  <si>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</si>
  <si>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</si>
  <si>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</si>
  <si>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</si>
  <si>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</si>
  <si>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</si>
  <si>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</si>
  <si>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</si>
  <si>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</si>
  <si>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</si>
  <si>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</si>
  <si>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</si>
  <si>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</si>
  <si>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</si>
  <si>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</si>
  <si>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</si>
  <si>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</si>
  <si>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</si>
  <si>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</si>
  <si>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</si>
  <si>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</si>
  <si>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</si>
  <si>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</si>
  <si>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</si>
  <si>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</si>
  <si>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</si>
  <si>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</si>
  <si>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</si>
  <si>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</si>
  <si>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</si>
  <si>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</si>
  <si>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</si>
  <si>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</si>
  <si>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</si>
  <si>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</si>
  <si>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</si>
  <si>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</si>
  <si>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</si>
  <si>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</si>
  <si>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</si>
  <si>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</si>
  <si>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</si>
  <si>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</si>
  <si>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</si>
  <si>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</si>
  <si>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</si>
  <si>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</si>
  <si>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</si>
  <si>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</si>
  <si>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</si>
  <si>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</si>
  <si>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</si>
  <si>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</si>
  <si>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</si>
  <si>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</si>
  <si>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</si>
  <si>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</si>
  <si>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</si>
  <si>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</si>
  <si>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</si>
  <si>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</si>
  <si>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</si>
  <si>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</si>
  <si>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</si>
  <si>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</si>
  <si>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</si>
  <si>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</si>
  <si>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</si>
  <si>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</si>
  <si>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</si>
  <si>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</si>
  <si>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</si>
  <si>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</si>
  <si>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</si>
  <si>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</si>
  <si>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</si>
  <si>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</si>
  <si>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</si>
  <si>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</si>
  <si>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</si>
  <si>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</si>
  <si>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</si>
  <si>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</si>
  <si>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</si>
  <si>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</si>
  <si>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</si>
  <si>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</si>
  <si>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</si>
  <si>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</si>
  <si>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</si>
  <si>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</si>
  <si>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</si>
  <si>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</si>
  <si>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</si>
  <si>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</si>
  <si>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</si>
  <si>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</si>
  <si>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</si>
  <si>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</si>
  <si>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</si>
  <si>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</si>
  <si>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</si>
  <si>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</si>
  <si>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</si>
  <si>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</si>
  <si>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</si>
  <si>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</si>
  <si>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</si>
  <si>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</si>
  <si>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</si>
  <si>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</si>
  <si>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</si>
  <si>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</si>
  <si>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</si>
  <si>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</si>
  <si>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</si>
  <si>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</si>
  <si>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</si>
  <si>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</si>
  <si>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</si>
  <si>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</si>
  <si>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</si>
  <si>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</si>
  <si>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</si>
  <si>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</si>
  <si>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</si>
  <si>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</si>
  <si>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</si>
  <si>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</si>
  <si>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</si>
  <si>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</si>
  <si>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</si>
  <si>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</si>
  <si>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</si>
  <si>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</si>
  <si>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</si>
  <si>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</si>
  <si>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</si>
  <si>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</si>
  <si>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</si>
  <si>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</si>
  <si>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</si>
  <si>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</si>
  <si>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</si>
  <si>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</si>
  <si>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</si>
  <si>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</si>
  <si>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</si>
  <si>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</si>
  <si>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</si>
  <si>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</si>
  <si>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</si>
  <si>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</si>
  <si>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</si>
  <si>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</si>
  <si>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</si>
  <si>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</si>
  <si>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</si>
  <si>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</si>
  <si>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</si>
  <si>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</si>
  <si>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</si>
  <si>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</si>
  <si>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</si>
  <si>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</si>
  <si>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</si>
  <si>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</si>
  <si>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</si>
  <si>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</si>
  <si>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</si>
  <si>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</si>
  <si>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</si>
  <si>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</si>
  <si>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</si>
  <si>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</si>
  <si>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</si>
  <si>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</si>
  <si>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</si>
  <si>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</si>
  <si>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</si>
  <si>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</si>
  <si>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</si>
  <si>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</si>
  <si>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</si>
  <si>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</si>
  <si>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</si>
  <si>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</si>
  <si>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</si>
  <si>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</si>
  <si>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</si>
  <si>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</si>
  <si>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</si>
  <si>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</si>
  <si>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</si>
  <si>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</si>
  <si>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</si>
  <si>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</si>
  <si>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</si>
  <si>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</si>
  <si>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</si>
  <si>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</si>
  <si>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</si>
  <si>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</si>
  <si>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</si>
  <si>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</si>
  <si>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</si>
  <si>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</si>
  <si>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</si>
  <si>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</si>
  <si>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</si>
  <si>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</si>
  <si>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</si>
  <si>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</si>
  <si>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</si>
  <si>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</si>
  <si>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</si>
  <si>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</si>
  <si>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</si>
  <si>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</si>
  <si>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</si>
  <si>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</si>
  <si>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</si>
  <si>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</si>
  <si>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</si>
  <si>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</si>
  <si>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</si>
  <si>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</si>
  <si>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</si>
  <si>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</si>
  <si>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</si>
  <si>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</si>
  <si>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</si>
  <si>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</si>
  <si>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</si>
  <si>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</si>
  <si>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</si>
  <si>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</si>
  <si>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</si>
  <si>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</si>
  <si>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</si>
  <si>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</si>
  <si>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</si>
  <si>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</si>
  <si>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</si>
  <si>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</si>
  <si>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</si>
  <si>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</si>
  <si>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</si>
  <si>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</si>
  <si>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</si>
  <si>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</si>
  <si>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</si>
  <si>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</si>
  <si>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</si>
  <si>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</si>
  <si>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</si>
  <si>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</si>
  <si>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</si>
  <si>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</si>
  <si>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</si>
  <si>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</si>
  <si>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</si>
  <si>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</si>
  <si>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</si>
  <si>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</si>
  <si>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</si>
  <si>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</si>
  <si>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</si>
  <si>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</si>
  <si>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</si>
  <si>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</si>
  <si>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</si>
  <si>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</si>
  <si>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</si>
  <si>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</si>
  <si>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</si>
  <si>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</si>
  <si>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</si>
  <si>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</si>
  <si>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</si>
  <si>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</si>
  <si>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</si>
  <si>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</si>
  <si>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</si>
  <si>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</si>
  <si>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</si>
  <si>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</si>
  <si>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</si>
  <si>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</si>
  <si>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</si>
  <si>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</si>
  <si>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</si>
  <si>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</si>
  <si>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</si>
  <si>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</si>
  <si>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</si>
  <si>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</si>
  <si>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</si>
  <si>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</si>
  <si>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</si>
  <si>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</si>
  <si>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</si>
  <si>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</si>
  <si>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</si>
  <si>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</si>
  <si>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</si>
  <si>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</si>
  <si>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</si>
  <si>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</si>
  <si>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</si>
  <si>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</si>
  <si>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</si>
  <si>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</si>
  <si>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</si>
  <si>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</si>
  <si>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</si>
  <si>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</si>
  <si>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</si>
  <si>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</si>
  <si>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</si>
  <si>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</si>
  <si>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</si>
  <si>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</si>
  <si>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</si>
  <si>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</si>
  <si>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</si>
  <si>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</si>
  <si>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</si>
  <si>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</si>
  <si>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</si>
  <si>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</si>
  <si>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</si>
  <si>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</si>
  <si>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</si>
  <si>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</si>
  <si>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</si>
  <si>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</si>
  <si>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</si>
  <si>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</si>
  <si>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</si>
  <si>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</si>
  <si>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</si>
  <si>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</si>
  <si>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</si>
  <si>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</si>
  <si>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</si>
  <si>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</si>
  <si>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</si>
  <si>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</si>
  <si>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</si>
  <si>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</si>
  <si>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</si>
  <si>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</si>
  <si>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</si>
  <si>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</si>
  <si>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</si>
  <si>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</si>
  <si>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</si>
  <si>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</si>
  <si>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</si>
  <si>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</si>
  <si>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</si>
  <si>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</si>
  <si>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</si>
  <si>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</si>
  <si>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</si>
  <si>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</si>
  <si>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</si>
  <si>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</si>
  <si>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</si>
  <si>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</si>
  <si>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</si>
  <si>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</si>
  <si>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</si>
  <si>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</si>
  <si>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</si>
  <si>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</si>
  <si>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</si>
  <si>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</si>
  <si>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</si>
  <si>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</si>
  <si>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</si>
  <si>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</si>
  <si>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</si>
  <si>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</si>
  <si>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</si>
  <si>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</si>
  <si>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</si>
  <si>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</si>
  <si>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</si>
  <si>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</si>
  <si>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</si>
  <si>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</si>
  <si>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</si>
  <si>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</si>
  <si>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</si>
  <si>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</si>
  <si>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</si>
  <si>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</si>
  <si>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</si>
  <si>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</si>
  <si>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</si>
  <si>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</si>
  <si>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</si>
  <si>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</si>
  <si>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</si>
  <si>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</si>
  <si>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</si>
  <si>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</si>
  <si>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</si>
  <si>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</si>
  <si>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</si>
  <si>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</si>
  <si>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</si>
  <si>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</si>
  <si>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</si>
  <si>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</si>
  <si>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</si>
  <si>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</si>
  <si>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</si>
  <si>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</si>
  <si>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</si>
  <si>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</si>
  <si>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</si>
  <si>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</si>
  <si>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</si>
  <si>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</si>
  <si>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</si>
  <si>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</si>
  <si>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</si>
  <si>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</si>
  <si>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</si>
  <si>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</si>
  <si>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</si>
  <si>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</si>
  <si>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</si>
  <si>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</si>
  <si>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</si>
  <si>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</si>
  <si>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</si>
  <si>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</si>
  <si>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</si>
  <si>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</si>
  <si>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</si>
  <si>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</si>
  <si>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</si>
  <si>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</si>
  <si>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</si>
  <si>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</si>
  <si>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</si>
  <si>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</si>
  <si>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</si>
  <si>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</si>
  <si>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</si>
  <si>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</si>
  <si>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</si>
  <si>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</si>
  <si>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</si>
  <si>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</si>
  <si>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</si>
  <si>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</si>
  <si>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</si>
  <si>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</si>
  <si>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</si>
  <si>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</si>
  <si>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</si>
  <si>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</si>
  <si>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</si>
  <si>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</si>
  <si>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</si>
  <si>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</si>
  <si>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</si>
  <si>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</si>
  <si>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</si>
  <si>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</si>
  <si>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</si>
  <si>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</si>
  <si>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</si>
  <si>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</si>
  <si>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</si>
  <si>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</si>
  <si>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</si>
  <si>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</si>
  <si>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</si>
  <si>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</si>
  <si>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</si>
  <si>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</si>
  <si>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</si>
  <si>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</si>
  <si>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</si>
  <si>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</si>
  <si>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</si>
  <si>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</si>
  <si>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</si>
  <si>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</si>
  <si>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</si>
  <si>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</si>
  <si>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</si>
  <si>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</si>
  <si>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</si>
  <si>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</si>
  <si>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</si>
  <si>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</si>
  <si>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</si>
  <si>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</si>
  <si>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</si>
  <si>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</si>
  <si>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</si>
  <si>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</si>
  <si>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</si>
  <si>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</si>
  <si>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</si>
  <si>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</si>
  <si>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</si>
  <si>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</si>
  <si>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</si>
  <si>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</si>
  <si>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</si>
  <si>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</si>
  <si>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</si>
  <si>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</si>
  <si>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</si>
  <si>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</si>
  <si>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</si>
  <si>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</si>
  <si>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</si>
  <si>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</si>
  <si>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</si>
  <si>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</si>
  <si>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</si>
  <si>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</si>
  <si>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</si>
  <si>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</si>
  <si>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</si>
  <si>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</si>
  <si>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</si>
  <si>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</si>
  <si>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</si>
  <si>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</si>
  <si>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</si>
  <si>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</si>
  <si>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</si>
  <si>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</si>
  <si>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</si>
  <si>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</si>
  <si>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</si>
  <si>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</si>
  <si>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</si>
  <si>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</si>
  <si>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</si>
  <si>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</si>
  <si>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</si>
  <si>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</si>
  <si>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</si>
  <si>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</si>
  <si>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</si>
  <si>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</si>
  <si>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</si>
  <si>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</si>
  <si>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</si>
  <si>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</si>
  <si>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</si>
  <si>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</si>
  <si>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</si>
  <si>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</si>
  <si>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</si>
  <si>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</si>
  <si>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</si>
  <si>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</si>
  <si>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</si>
  <si>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</si>
  <si>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</si>
  <si>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</si>
  <si>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</si>
  <si>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</si>
  <si>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</si>
  <si>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</si>
  <si>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</si>
  <si>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</si>
  <si>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</si>
  <si>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</si>
  <si>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</si>
  <si>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</si>
  <si>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</si>
  <si>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</si>
  <si>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</si>
  <si>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</si>
  <si>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</si>
  <si>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</si>
  <si>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</si>
  <si>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</si>
  <si>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</si>
  <si>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</si>
  <si>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</si>
  <si>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</si>
  <si>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</si>
  <si>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</si>
  <si>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</si>
  <si>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</si>
  <si>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</si>
  <si>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</si>
  <si>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</si>
  <si>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</si>
  <si>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</si>
  <si>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</si>
  <si>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</si>
  <si>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</si>
  <si>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</si>
  <si>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</si>
  <si>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</si>
  <si>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</si>
  <si>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</si>
  <si>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</si>
  <si>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</si>
  <si>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</si>
  <si>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</si>
  <si>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</si>
  <si>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</si>
  <si>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</si>
  <si>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</si>
  <si>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</si>
  <si>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</si>
  <si>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</si>
  <si>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</si>
  <si>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</si>
  <si>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</si>
  <si>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</si>
  <si>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</si>
  <si>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</si>
  <si>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</si>
  <si>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</si>
  <si>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</si>
  <si>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</si>
  <si>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</si>
  <si>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</si>
  <si>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</si>
  <si>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</si>
  <si>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</si>
  <si>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</si>
  <si>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</si>
  <si>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</si>
  <si>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</si>
  <si>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</si>
  <si>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</si>
  <si>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</si>
  <si>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</si>
  <si>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</si>
  <si>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</si>
  <si>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</si>
  <si>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</si>
  <si>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</si>
  <si>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</si>
  <si>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</si>
  <si>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</si>
  <si>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</si>
  <si>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</si>
  <si>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</si>
  <si>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</si>
  <si>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</si>
  <si>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</si>
  <si>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</si>
  <si>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</si>
  <si>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</si>
  <si>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</si>
  <si>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</si>
  <si>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</si>
  <si>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</si>
  <si>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</si>
  <si>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</si>
  <si>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</si>
  <si>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</si>
  <si>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</si>
  <si>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</si>
  <si>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</si>
  <si>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</si>
  <si>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</si>
  <si>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</si>
  <si>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</si>
  <si>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</si>
  <si>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</si>
  <si>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</si>
  <si>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</si>
  <si>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</si>
  <si>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</si>
  <si>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</si>
  <si>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</si>
  <si>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</si>
  <si>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</si>
  <si>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</si>
  <si>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</si>
  <si>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</si>
  <si>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</si>
  <si>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</si>
  <si>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</si>
  <si>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</si>
  <si>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</si>
  <si>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</si>
  <si>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</si>
  <si>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</si>
  <si>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</si>
  <si>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</si>
  <si>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</si>
  <si>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</si>
  <si>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</si>
  <si>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</si>
  <si>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</si>
  <si>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</si>
  <si>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</si>
  <si>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</si>
  <si>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</si>
  <si>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</si>
  <si>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</si>
  <si>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</si>
  <si>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</si>
  <si>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</si>
  <si>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</si>
  <si>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</si>
  <si>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</si>
  <si>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</si>
  <si>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</si>
  <si>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</si>
  <si>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</si>
  <si>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</si>
  <si>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</si>
  <si>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</si>
  <si>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</si>
  <si>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</si>
  <si>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</si>
  <si>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</si>
  <si>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</si>
  <si>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</si>
  <si>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</si>
  <si>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</si>
  <si>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</si>
  <si>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</si>
  <si>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</si>
  <si>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</si>
  <si>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</si>
  <si>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</si>
  <si>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</si>
  <si>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</si>
  <si>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</si>
  <si>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</si>
  <si>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</si>
  <si>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</si>
  <si>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</si>
  <si>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</si>
  <si>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</si>
  <si>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</si>
  <si>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</si>
  <si>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</si>
  <si>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</si>
  <si>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</si>
  <si>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</si>
  <si>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</si>
  <si>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</si>
  <si>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</si>
  <si>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</si>
  <si>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</si>
  <si>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</si>
  <si>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</si>
  <si>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</si>
  <si>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</si>
  <si>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</si>
  <si>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</si>
  <si>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</si>
  <si>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</si>
  <si>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</si>
  <si>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</si>
  <si>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</si>
  <si>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</si>
  <si>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</si>
  <si>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</si>
  <si>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</si>
  <si>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</si>
  <si>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</si>
  <si>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</si>
  <si>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</si>
  <si>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</si>
  <si>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</si>
  <si>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</si>
  <si>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</si>
  <si>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</si>
  <si>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</si>
  <si>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</si>
  <si>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</si>
  <si>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</si>
  <si>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</si>
  <si>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</si>
  <si>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</si>
  <si>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</si>
  <si>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</si>
  <si>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</si>
  <si>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</si>
  <si>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</si>
  <si>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</si>
  <si>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</si>
  <si>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</si>
  <si>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</si>
  <si>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</si>
  <si>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</si>
  <si>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</si>
  <si>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</si>
  <si>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</si>
  <si>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</si>
  <si>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</si>
  <si>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</si>
  <si>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</si>
  <si>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</si>
  <si>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</si>
  <si>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</si>
  <si>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</si>
  <si>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</si>
  <si>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</si>
  <si>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</si>
  <si>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</si>
  <si>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</si>
  <si>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</si>
  <si>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</si>
  <si>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</si>
  <si>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</si>
  <si>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</si>
  <si>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</si>
  <si>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</si>
  <si>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</si>
  <si>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</si>
  <si>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</si>
  <si>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</si>
  <si>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</si>
  <si>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</si>
  <si>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</si>
  <si>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</si>
  <si>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</si>
  <si>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</si>
  <si>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</si>
  <si>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</si>
  <si>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</si>
  <si>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</si>
  <si>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</si>
  <si>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</si>
  <si>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</si>
  <si>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</si>
  <si>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</si>
  <si>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</si>
  <si>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</si>
  <si>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</si>
  <si>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</si>
  <si>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</si>
  <si>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</si>
  <si>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</si>
  <si>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</si>
  <si>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</si>
  <si>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</si>
  <si>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</si>
  <si>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</si>
  <si>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</si>
  <si>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</si>
  <si>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</si>
  <si>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</si>
  <si>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</si>
  <si>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</si>
  <si>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</si>
  <si>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</si>
  <si>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</si>
  <si>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</si>
  <si>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</si>
  <si>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</si>
  <si>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</si>
  <si>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</si>
  <si>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</si>
  <si>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</si>
  <si>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</si>
  <si>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</si>
  <si>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</si>
  <si>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</si>
  <si>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</si>
  <si>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</si>
  <si>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</si>
  <si>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</si>
  <si>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</si>
  <si>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</si>
  <si>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</si>
  <si>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</si>
  <si>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</si>
  <si>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</si>
  <si>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</si>
  <si>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</si>
  <si>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</si>
  <si>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</si>
  <si>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</si>
  <si>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</si>
  <si>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</si>
  <si>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</si>
  <si>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</si>
  <si>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</si>
  <si>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</si>
  <si>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</si>
  <si>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</si>
  <si>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</si>
  <si>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</si>
  <si>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</si>
  <si>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</si>
  <si>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</si>
  <si>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</si>
  <si>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</si>
  <si>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</si>
  <si>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</si>
  <si>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</si>
  <si>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</si>
  <si>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</si>
  <si>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</si>
  <si>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</si>
  <si>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</si>
  <si>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</si>
  <si>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</si>
  <si>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</si>
  <si>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</si>
  <si>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</si>
  <si>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</si>
  <si>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</si>
  <si>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</si>
  <si>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</si>
  <si>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</si>
  <si>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</si>
  <si>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</si>
  <si>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</si>
  <si>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</si>
  <si>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</si>
  <si>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</si>
  <si>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</si>
  <si>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</si>
  <si>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</si>
  <si>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</si>
  <si>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</si>
  <si>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</si>
  <si>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</si>
  <si>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</si>
  <si>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</si>
  <si>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</si>
  <si>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</si>
  <si>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</si>
  <si>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</si>
  <si>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</si>
  <si>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</si>
  <si>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</si>
  <si>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</si>
  <si>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</si>
  <si>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</si>
  <si>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</si>
  <si>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</si>
  <si>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</si>
  <si>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</si>
  <si>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</si>
  <si>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</si>
  <si>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</si>
  <si>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</si>
  <si>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</si>
  <si>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</si>
  <si>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</si>
  <si>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</si>
  <si>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</si>
  <si>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</si>
  <si>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</si>
  <si>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</si>
  <si>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</si>
  <si>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</si>
  <si>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</si>
  <si>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</si>
  <si>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</si>
  <si>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</si>
  <si>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</si>
  <si>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</si>
  <si>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</si>
  <si>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</si>
  <si>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</si>
  <si>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</si>
  <si>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</si>
  <si>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</si>
  <si>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</si>
  <si>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</si>
  <si>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</si>
  <si>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</si>
  <si>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</si>
  <si>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</si>
  <si>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</si>
  <si>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</si>
  <si>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</si>
  <si>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</si>
  <si>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</si>
  <si>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</si>
  <si>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</si>
  <si>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</si>
  <si>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</si>
  <si>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</si>
  <si>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</si>
  <si>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</si>
  <si>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</si>
  <si>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</si>
  <si>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</si>
  <si>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</si>
  <si>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</si>
  <si>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</si>
  <si>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</si>
  <si>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</si>
  <si>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</si>
  <si>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</si>
  <si>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</si>
  <si>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</si>
  <si>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</si>
  <si>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</si>
  <si>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</si>
  <si>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</si>
  <si>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</si>
  <si>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</si>
  <si>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</si>
  <si>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</si>
  <si>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</si>
  <si>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</si>
  <si>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</si>
  <si>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</si>
  <si>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</si>
  <si>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</si>
  <si>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</si>
  <si>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</si>
  <si>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</si>
  <si>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</si>
  <si>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</si>
  <si>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</si>
  <si>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</si>
  <si>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</si>
  <si>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</si>
  <si>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</si>
  <si>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</si>
  <si>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</si>
  <si>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</si>
  <si>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</si>
  <si>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</si>
  <si>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</si>
  <si>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</si>
  <si>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</si>
  <si>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</si>
  <si>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</si>
  <si>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</si>
  <si>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</si>
  <si>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</si>
  <si>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</si>
  <si>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</si>
  <si>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</si>
  <si>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</si>
  <si>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</si>
  <si>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</si>
  <si>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</si>
  <si>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</si>
  <si>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</si>
  <si>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</si>
  <si>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</si>
  <si>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</si>
  <si>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</si>
  <si>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</si>
  <si>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</si>
  <si>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pirmdiena, 2015.gada 12.janvāris</t>
  </si>
  <si>
    <t>Row Labels</t>
  </si>
  <si>
    <t>Grand Total</t>
  </si>
  <si>
    <t>Average of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</si>
</sst>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9" formatCode="0.00_ ;\-0.00\ "/>
    <numFmt numFmtId="170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169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170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86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1-4025-B92E-7D6DD0CAD5A7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1-4025-B92E-7D6DD0CAD5A7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21-4025-B92E-7D6DD0CAD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078736"/>
        <c:axId val="801065424"/>
      </c:lineChart>
      <c:catAx>
        <c:axId val="80107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801065424"/>
        <c:crosses val="autoZero"/>
        <c:auto val="1"/>
        <c:lblAlgn val="ctr"/>
        <c:lblOffset val="100"/>
        <c:noMultiLvlLbl val="0"/>
      </c:catAx>
      <c:valAx>
        <c:axId val="8010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8010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9-469F-9F05-E9E77A54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749520"/>
        <c:axId val="740752432"/>
      </c:scatterChart>
      <c:valAx>
        <c:axId val="74074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740752432"/>
        <c:crosses val="autoZero"/>
        <c:crossBetween val="midCat"/>
      </c:valAx>
      <c:valAx>
        <c:axId val="7407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74074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986482939632543"/>
                  <c:y val="-0.32419327792359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E-4D74-813D-27A38B4B5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42448"/>
        <c:axId val="257845776"/>
      </c:scatterChart>
      <c:valAx>
        <c:axId val="25784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57845776"/>
        <c:crosses val="autoZero"/>
        <c:crossBetween val="midCat"/>
      </c:valAx>
      <c:valAx>
        <c:axId val="2578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5784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 dalībnieku skaita sadalījums pēc vidējā ātruma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 dalībnieku skaita sadalījums pēc vidējā ātruma</a:t>
          </a:r>
        </a:p>
      </cx:txPr>
    </cx:title>
    <cx:plotArea>
      <cx:plotAreaRegion>
        <cx:series layoutId="clusteredColumn" uniqueId="{E3A23B42-D5CA-48F2-8214-A4829A7CA534}">
          <cx:tx>
            <cx:txData>
              <cx:f>_xlchart.v1.0</cx:f>
              <cx:v>Ātrums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</xdr:colOff>
      <xdr:row>14</xdr:row>
      <xdr:rowOff>0</xdr:rowOff>
    </xdr:from>
    <xdr:to>
      <xdr:col>15</xdr:col>
      <xdr:colOff>357187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360A87-DE5A-41EC-AC47-FE43DD314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</xdr:colOff>
      <xdr:row>18</xdr:row>
      <xdr:rowOff>57150</xdr:rowOff>
    </xdr:from>
    <xdr:to>
      <xdr:col>15</xdr:col>
      <xdr:colOff>509587</xdr:colOff>
      <xdr:row>35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263A691-DF4A-4206-BAD1-BFEF3205F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9362" y="3028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328612</xdr:colOff>
      <xdr:row>9</xdr:row>
      <xdr:rowOff>9525</xdr:rowOff>
    </xdr:from>
    <xdr:to>
      <xdr:col>16</xdr:col>
      <xdr:colOff>23812</xdr:colOff>
      <xdr:row>25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75656E-CAA7-40C2-8CDB-A5E5576FA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185737</xdr:colOff>
      <xdr:row>8</xdr:row>
      <xdr:rowOff>209550</xdr:rowOff>
    </xdr:from>
    <xdr:to>
      <xdr:col>23</xdr:col>
      <xdr:colOff>490537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2C21E3-6A54-42D6-935A-33231931C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kus Raudenieks" refreshedDate="46045.457881134258" backgroundQuery="1" createdVersion="7" refreshedVersion="7" minRefreshableVersion="3" recordCount="0" supportSubquery="1" supportAdvancedDrill="1" xr:uid="{7FE96820-AA4B-4855-BC64-37CA70372125}">
  <cacheSource type="external" connectionId="1"/>
  <cacheFields count="2">
    <cacheField name="[Table2].[Vārds].[Vārds]" caption="Vārds" numFmtId="0" hierarchy="2" level="1">
      <sharedItems count="1">
        <s v="Kārlis"/>
      </sharedItems>
    </cacheField>
    <cacheField name="[Table2].[Uzvārds].[Uzvārds]" caption="Uzvārds" numFmtId="0" hierarchy="1" level="1">
      <sharedItems count="21">
        <s v="Baltiņš"/>
        <s v="Bitītis"/>
        <s v="Dimza"/>
        <s v="Eglītis"/>
        <s v="Heimrāts"/>
        <s v="Kalniņš"/>
        <s v="Lāriņš"/>
        <s v="Leimanis"/>
        <s v="Loks"/>
        <s v="Lūsis"/>
        <s v="Mošenkovs"/>
        <s v="Murāns"/>
        <s v="Ozols"/>
        <s v="Pugovičs"/>
        <s v="Sils"/>
        <s v="Splīte"/>
        <s v="Šāvējs"/>
        <s v="Vanags"/>
        <s v="Zemītis"/>
        <s v="Znotiņš"/>
        <s v="Žihars"/>
      </sharedItems>
    </cacheField>
  </cacheFields>
  <cacheHierarchies count="10">
    <cacheHierarchy uniqueName="[Table2].[Grupa]" caption="Grupa" attribute="1" defaultMemberUniqueName="[Table2].[Grupa].[All]" allUniqueName="[Table2].[Grupa].[All]" dimensionUniqueName="[Table2]" displayFolder="" count="0" memberValueDatatype="130" unbalanced="0"/>
    <cacheHierarchy uniqueName="[Table2].[Uzvārds]" caption="Uzvārds" attribute="1" defaultMemberUniqueName="[Table2].[Uzvārds].[All]" allUniqueName="[Table2].[Uzvārds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Vārds]" caption="Vārds" attribute="1" defaultMemberUniqueName="[Table2].[Vārds].[All]" allUniqueName="[Table2].[Vārds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Klubs]" caption="Klubs" attribute="1" defaultMemberUniqueName="[Table2].[Klubs].[All]" allUniqueName="[Table2].[Klubs].[All]" dimensionUniqueName="[Table2]" displayFolder="" count="0" memberValueDatatype="130" unbalanced="0"/>
    <cacheHierarchy uniqueName="[Table2].[Laiks]" caption="Laiks" attribute="1" defaultMemberUniqueName="[Table2].[Laiks].[All]" allUniqueName="[Table2].[Laiks].[All]" dimensionUniqueName="[Table2]" displayFolder="" count="0" memberValueDatatype="130" unbalanced="0"/>
    <cacheHierarchy uniqueName="[Table2].[Ātrums]" caption="Ātrums" attribute="1" defaultMemberUniqueName="[Table2].[Ātrums].[All]" allUniqueName="[Table2].[Ātrums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Ātrums]" caption="Sum of Ātrum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Ātrums]" caption="Average of Ātrum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kus Raudenieks" refreshedDate="46045.459839699077" backgroundQuery="1" createdVersion="7" refreshedVersion="7" minRefreshableVersion="3" recordCount="0" supportSubquery="1" supportAdvancedDrill="1" xr:uid="{CBA93D6F-C56A-4C65-88B0-C0F87371AEC2}">
  <cacheSource type="external" connectionId="1"/>
  <cacheFields count="2">
    <cacheField name="[Table2].[Grupa].[Grupa]" caption="Grupa" numFmtId="0" level="1">
      <sharedItems count="9">
        <s v="mtb M14"/>
        <s v="mtb M16"/>
        <s v="mtb M18"/>
        <s v="mtb M19"/>
        <s v="mtb M36"/>
        <s v="mtb M46"/>
        <s v="mtb M56"/>
        <s v="mtb W18"/>
        <s v="mtbW"/>
      </sharedItems>
    </cacheField>
    <cacheField name="[Measures].[Average of Ātrums]" caption="Average of Ātrums" numFmtId="0" hierarchy="9" level="32767"/>
  </cacheFields>
  <cacheHierarchies count="10">
    <cacheHierarchy uniqueName="[Table2].[Grupa]" caption="Grupa" attribute="1" defaultMemberUniqueName="[Table2].[Grupa].[All]" allUniqueName="[Table2].[Grupa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Uzvārds]" caption="Uzvārds" attribute="1" defaultMemberUniqueName="[Table2].[Uzvārds].[All]" allUniqueName="[Table2].[Uzvārds].[All]" dimensionUniqueName="[Table2]" displayFolder="" count="0" memberValueDatatype="130" unbalanced="0"/>
    <cacheHierarchy uniqueName="[Table2].[Vārds]" caption="Vārds" attribute="1" defaultMemberUniqueName="[Table2].[Vārds].[All]" allUniqueName="[Table2].[Vārds].[All]" dimensionUniqueName="[Table2]" displayFolder="" count="0" memberValueDatatype="130" unbalanced="0"/>
    <cacheHierarchy uniqueName="[Table2].[Klubs]" caption="Klubs" attribute="1" defaultMemberUniqueName="[Table2].[Klubs].[All]" allUniqueName="[Table2].[Klubs].[All]" dimensionUniqueName="[Table2]" displayFolder="" count="0" memberValueDatatype="130" unbalanced="0"/>
    <cacheHierarchy uniqueName="[Table2].[Laiks]" caption="Laiks" attribute="1" defaultMemberUniqueName="[Table2].[Laiks].[All]" allUniqueName="[Table2].[Laiks].[All]" dimensionUniqueName="[Table2]" displayFolder="" count="0" memberValueDatatype="130" unbalanced="0"/>
    <cacheHierarchy uniqueName="[Table2].[Ātrums]" caption="Ātrums" attribute="1" defaultMemberUniqueName="[Table2].[Ātrums].[All]" allUniqueName="[Table2].[Ātrums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Ātrums]" caption="Sum of Ātrum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Ātrums]" caption="Average of Ātrum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B6DB3-6BEC-40E0-92B1-F26544ACF3D4}" name="PivotTable2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:D11" firstHeaderRow="1" firstDataRow="1" firstDataCol="1"/>
  <pivotFields count="2">
    <pivotField axis="axisRow" allDrilled="1" subtotalTop="0" showAll="0" dataSourceSort="1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Ātrums" fld="1" subtotal="average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Ātrums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D62F-0087-479E-9782-E77EF2492556}" name="PivotTable1" cacheId="2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1:A24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excelKD2026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B7DF54-E0E2-498F-82B2-913437CA3A06}" name="Table2" displayName="Table2" ref="B1:G1487" totalsRowShown="0" headerRowDxfId="0" headerRowCellStyle="Normal 2" dataCellStyle="Normal 2">
  <autoFilter ref="B1:G1487" xr:uid="{97B7DF54-E0E2-498F-82B2-913437CA3A06}"/>
  <tableColumns count="6">
    <tableColumn id="1" xr3:uid="{5C5655AB-6E62-426E-BF7E-5E79FA72D1C7}" name="Grupa" dataDxfId="3" dataCellStyle="Normal 2"/>
    <tableColumn id="2" xr3:uid="{2F1A3DF8-6718-4EAA-80DF-07D4BA1B5431}" name="Uzvārds" dataCellStyle="Normal 2"/>
    <tableColumn id="3" xr3:uid="{E36AC28B-2910-470C-B645-61439FADDEC0}" name="Vārds" dataCellStyle="Normal 2"/>
    <tableColumn id="4" xr3:uid="{3463971F-934A-4CF8-A3DD-411C01B2E1A8}" name="Klubs" dataCellStyle="Normal 2"/>
    <tableColumn id="5" xr3:uid="{B11F385F-1FF1-4332-BE2B-C0B5F06D0DEA}" name="Laiks" dataDxfId="2" dataCellStyle="Normal 2"/>
    <tableColumn id="6" xr3:uid="{60D9A3F0-735D-4143-B3FD-19EF63CE792D}" name="Ātrums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B2" sqref="B2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3" t="s">
        <v>44</v>
      </c>
    </row>
    <row r="5" spans="1:2" ht="16.899999999999999" customHeight="1" x14ac:dyDescent="0.2">
      <c r="A5" s="44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4" t="s">
        <v>3911</v>
      </c>
    </row>
    <row r="13" spans="1:2" ht="16.899999999999999" customHeight="1" x14ac:dyDescent="0.2">
      <c r="A13" s="44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3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9" t="s">
        <v>3904</v>
      </c>
    </row>
    <row r="22" spans="1:13" ht="16.899999999999999" customHeight="1" x14ac:dyDescent="0.2">
      <c r="A22" s="39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1" t="s">
        <v>3882</v>
      </c>
    </row>
    <row r="25" spans="1:13" ht="16.899999999999999" customHeight="1" x14ac:dyDescent="0.2">
      <c r="A25" s="52" t="s">
        <v>3905</v>
      </c>
    </row>
    <row r="26" spans="1:13" ht="16.899999999999999" customHeight="1" x14ac:dyDescent="0.2">
      <c r="A26" s="52" t="s">
        <v>3914</v>
      </c>
    </row>
    <row r="27" spans="1:13" ht="16.899999999999999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899999999999999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21" sqref="D21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7" customWidth="1"/>
    <col min="6" max="6" width="33.7109375" customWidth="1"/>
  </cols>
  <sheetData>
    <row r="1" spans="1:6" ht="15" customHeight="1" x14ac:dyDescent="0.2">
      <c r="A1" s="57" t="s">
        <v>31</v>
      </c>
      <c r="B1" s="58"/>
      <c r="D1" s="10" t="s">
        <v>3915</v>
      </c>
      <c r="F1" s="10">
        <v>42007</v>
      </c>
    </row>
    <row r="2" spans="1:6" ht="15" customHeight="1" x14ac:dyDescent="0.2">
      <c r="A2" s="8" t="s">
        <v>32</v>
      </c>
      <c r="B2" s="71">
        <v>41883</v>
      </c>
      <c r="F2" s="10">
        <f>F1+7</f>
        <v>42014</v>
      </c>
    </row>
    <row r="3" spans="1:6" ht="15" customHeight="1" x14ac:dyDescent="0.2">
      <c r="A3" s="8" t="s">
        <v>33</v>
      </c>
      <c r="B3" s="71">
        <v>42153</v>
      </c>
      <c r="F3" s="10">
        <f t="shared" ref="F3:F52" si="0">F2+7</f>
        <v>42021</v>
      </c>
    </row>
    <row r="4" spans="1:6" ht="15" customHeight="1" x14ac:dyDescent="0.2">
      <c r="A4" s="8" t="s">
        <v>34</v>
      </c>
      <c r="B4" s="71">
        <v>42139</v>
      </c>
      <c r="F4" s="10">
        <f t="shared" si="0"/>
        <v>42028</v>
      </c>
    </row>
    <row r="5" spans="1:6" ht="15" customHeight="1" x14ac:dyDescent="0.2">
      <c r="A5" s="8" t="s">
        <v>35</v>
      </c>
      <c r="B5" s="71">
        <v>41939</v>
      </c>
      <c r="F5" s="10">
        <f t="shared" si="0"/>
        <v>42035</v>
      </c>
    </row>
    <row r="6" spans="1:6" ht="15" customHeight="1" x14ac:dyDescent="0.2">
      <c r="A6" s="8" t="s">
        <v>36</v>
      </c>
      <c r="B6" s="71">
        <v>41943</v>
      </c>
      <c r="F6" s="10">
        <f t="shared" si="0"/>
        <v>42042</v>
      </c>
    </row>
    <row r="7" spans="1:6" ht="15" customHeight="1" x14ac:dyDescent="0.2">
      <c r="A7" s="8" t="s">
        <v>37</v>
      </c>
      <c r="B7" s="71">
        <v>41995</v>
      </c>
      <c r="F7" s="10">
        <f t="shared" si="0"/>
        <v>42049</v>
      </c>
    </row>
    <row r="8" spans="1:6" ht="15" customHeight="1" x14ac:dyDescent="0.2">
      <c r="A8" s="8" t="s">
        <v>38</v>
      </c>
      <c r="B8" s="71">
        <v>42006</v>
      </c>
      <c r="F8" s="10">
        <f t="shared" si="0"/>
        <v>42056</v>
      </c>
    </row>
    <row r="9" spans="1:6" ht="15" customHeight="1" x14ac:dyDescent="0.2">
      <c r="A9" s="8" t="s">
        <v>39</v>
      </c>
      <c r="B9" s="71">
        <v>42079</v>
      </c>
      <c r="F9" s="10">
        <f t="shared" si="0"/>
        <v>42063</v>
      </c>
    </row>
    <row r="10" spans="1:6" ht="15" customHeight="1" x14ac:dyDescent="0.2">
      <c r="A10" s="8" t="s">
        <v>40</v>
      </c>
      <c r="B10" s="71">
        <v>42083</v>
      </c>
      <c r="F10" s="10">
        <f t="shared" si="0"/>
        <v>42070</v>
      </c>
    </row>
    <row r="11" spans="1:6" ht="15" customHeight="1" x14ac:dyDescent="0.2">
      <c r="A11" s="8" t="s">
        <v>41</v>
      </c>
      <c r="B11" s="71">
        <v>42086</v>
      </c>
      <c r="F11" s="10">
        <f t="shared" si="0"/>
        <v>42077</v>
      </c>
    </row>
    <row r="12" spans="1:6" ht="15" customHeight="1" x14ac:dyDescent="0.2">
      <c r="A12" s="8" t="s">
        <v>42</v>
      </c>
      <c r="B12" s="71">
        <v>42090</v>
      </c>
      <c r="F12" s="10">
        <f t="shared" si="0"/>
        <v>42084</v>
      </c>
    </row>
    <row r="13" spans="1:6" ht="15" customHeight="1" x14ac:dyDescent="0.2">
      <c r="F13" s="10">
        <f t="shared" si="0"/>
        <v>42091</v>
      </c>
    </row>
    <row r="14" spans="1:6" ht="15" customHeight="1" x14ac:dyDescent="0.2">
      <c r="A14" s="2">
        <v>1</v>
      </c>
      <c r="B14" s="59" t="s">
        <v>3886</v>
      </c>
      <c r="F14" s="10">
        <f t="shared" si="0"/>
        <v>42098</v>
      </c>
    </row>
    <row r="15" spans="1:6" ht="15" customHeight="1" x14ac:dyDescent="0.2">
      <c r="A15" s="2"/>
      <c r="B15" s="59"/>
      <c r="C15" t="s">
        <v>3885</v>
      </c>
      <c r="F15" s="10">
        <f t="shared" si="0"/>
        <v>42105</v>
      </c>
    </row>
    <row r="16" spans="1:6" ht="15" customHeight="1" x14ac:dyDescent="0.2">
      <c r="A16" s="2"/>
      <c r="B16" s="59"/>
      <c r="F16" s="10">
        <f t="shared" si="0"/>
        <v>42112</v>
      </c>
    </row>
    <row r="17" spans="1:6" ht="15" customHeight="1" x14ac:dyDescent="0.2">
      <c r="A17" s="2"/>
      <c r="F17" s="10">
        <f t="shared" si="0"/>
        <v>42119</v>
      </c>
    </row>
    <row r="18" spans="1:6" ht="15" customHeight="1" x14ac:dyDescent="0.2">
      <c r="A18" s="2">
        <v>2</v>
      </c>
      <c r="B18" s="59" t="s">
        <v>3907</v>
      </c>
      <c r="F18" s="10">
        <f t="shared" si="0"/>
        <v>42126</v>
      </c>
    </row>
    <row r="19" spans="1:6" ht="15" customHeight="1" x14ac:dyDescent="0.2">
      <c r="A19" s="2"/>
      <c r="B19" s="59"/>
      <c r="C19" t="s">
        <v>3885</v>
      </c>
      <c r="F19" s="10">
        <f t="shared" si="0"/>
        <v>42133</v>
      </c>
    </row>
    <row r="20" spans="1:6" ht="15" customHeight="1" x14ac:dyDescent="0.2">
      <c r="A20" s="2"/>
      <c r="B20" s="59"/>
      <c r="F20" s="10">
        <f t="shared" si="0"/>
        <v>42140</v>
      </c>
    </row>
    <row r="21" spans="1:6" ht="15" customHeight="1" x14ac:dyDescent="0.2">
      <c r="A21" s="2"/>
      <c r="F21" s="10">
        <f t="shared" si="0"/>
        <v>42147</v>
      </c>
    </row>
    <row r="22" spans="1:6" ht="15" customHeight="1" x14ac:dyDescent="0.2">
      <c r="A22" s="2">
        <v>3</v>
      </c>
      <c r="B22" s="59" t="s">
        <v>3887</v>
      </c>
      <c r="F22" s="10">
        <f t="shared" si="0"/>
        <v>42154</v>
      </c>
    </row>
    <row r="23" spans="1:6" ht="15" customHeight="1" x14ac:dyDescent="0.2">
      <c r="B23" s="59"/>
      <c r="C23" t="s">
        <v>3885</v>
      </c>
      <c r="F23" s="10">
        <f t="shared" si="0"/>
        <v>42161</v>
      </c>
    </row>
    <row r="24" spans="1:6" ht="15" customHeight="1" x14ac:dyDescent="0.2">
      <c r="B24" s="59"/>
      <c r="F24" s="10">
        <f t="shared" si="0"/>
        <v>42168</v>
      </c>
    </row>
    <row r="25" spans="1:6" ht="15" customHeight="1" x14ac:dyDescent="0.2">
      <c r="F25" s="10">
        <f t="shared" si="0"/>
        <v>42175</v>
      </c>
    </row>
    <row r="26" spans="1:6" ht="15" customHeight="1" x14ac:dyDescent="0.2">
      <c r="F26" s="10">
        <f t="shared" si="0"/>
        <v>42182</v>
      </c>
    </row>
    <row r="27" spans="1:6" ht="15" customHeight="1" x14ac:dyDescent="0.2">
      <c r="F27" s="10">
        <f t="shared" si="0"/>
        <v>42189</v>
      </c>
    </row>
    <row r="28" spans="1:6" ht="15" customHeight="1" x14ac:dyDescent="0.2">
      <c r="F28" s="10">
        <f t="shared" si="0"/>
        <v>42196</v>
      </c>
    </row>
    <row r="29" spans="1:6" ht="15" customHeight="1" x14ac:dyDescent="0.2">
      <c r="F29" s="10">
        <f t="shared" si="0"/>
        <v>42203</v>
      </c>
    </row>
    <row r="30" spans="1:6" ht="15" customHeight="1" x14ac:dyDescent="0.2">
      <c r="F30" s="10">
        <f t="shared" si="0"/>
        <v>42210</v>
      </c>
    </row>
    <row r="31" spans="1:6" ht="15" customHeight="1" x14ac:dyDescent="0.2">
      <c r="F31" s="10">
        <f t="shared" si="0"/>
        <v>42217</v>
      </c>
    </row>
    <row r="32" spans="1:6" ht="15" customHeight="1" x14ac:dyDescent="0.2">
      <c r="F32" s="10">
        <f t="shared" si="0"/>
        <v>42224</v>
      </c>
    </row>
    <row r="33" spans="6:6" ht="15" customHeight="1" x14ac:dyDescent="0.2">
      <c r="F33" s="10">
        <f t="shared" si="0"/>
        <v>42231</v>
      </c>
    </row>
    <row r="34" spans="6:6" ht="15" customHeight="1" x14ac:dyDescent="0.2">
      <c r="F34" s="10">
        <f t="shared" si="0"/>
        <v>42238</v>
      </c>
    </row>
    <row r="35" spans="6:6" ht="15" customHeight="1" x14ac:dyDescent="0.2">
      <c r="F35" s="10">
        <f t="shared" si="0"/>
        <v>42245</v>
      </c>
    </row>
    <row r="36" spans="6:6" ht="15" customHeight="1" x14ac:dyDescent="0.2">
      <c r="F36" s="10">
        <f t="shared" si="0"/>
        <v>42252</v>
      </c>
    </row>
    <row r="37" spans="6:6" ht="15" customHeight="1" x14ac:dyDescent="0.2">
      <c r="F37" s="10">
        <f t="shared" si="0"/>
        <v>42259</v>
      </c>
    </row>
    <row r="38" spans="6:6" ht="15" customHeight="1" x14ac:dyDescent="0.2">
      <c r="F38" s="10">
        <f t="shared" si="0"/>
        <v>42266</v>
      </c>
    </row>
    <row r="39" spans="6:6" ht="15" customHeight="1" x14ac:dyDescent="0.2">
      <c r="F39" s="10">
        <f t="shared" si="0"/>
        <v>42273</v>
      </c>
    </row>
    <row r="40" spans="6:6" ht="15" customHeight="1" x14ac:dyDescent="0.2">
      <c r="F40" s="10">
        <f t="shared" si="0"/>
        <v>42280</v>
      </c>
    </row>
    <row r="41" spans="6:6" ht="15" customHeight="1" x14ac:dyDescent="0.2">
      <c r="F41" s="10">
        <f t="shared" si="0"/>
        <v>42287</v>
      </c>
    </row>
    <row r="42" spans="6:6" ht="15" customHeight="1" x14ac:dyDescent="0.2">
      <c r="F42" s="10">
        <f t="shared" si="0"/>
        <v>42294</v>
      </c>
    </row>
    <row r="43" spans="6:6" ht="15" customHeight="1" x14ac:dyDescent="0.2">
      <c r="F43" s="10">
        <f t="shared" si="0"/>
        <v>42301</v>
      </c>
    </row>
    <row r="44" spans="6:6" ht="15" customHeight="1" x14ac:dyDescent="0.2">
      <c r="F44" s="10">
        <f t="shared" si="0"/>
        <v>42308</v>
      </c>
    </row>
    <row r="45" spans="6:6" ht="15" customHeight="1" x14ac:dyDescent="0.2">
      <c r="F45" s="10">
        <f t="shared" si="0"/>
        <v>42315</v>
      </c>
    </row>
    <row r="46" spans="6:6" ht="15" customHeight="1" x14ac:dyDescent="0.2">
      <c r="F46" s="10">
        <f t="shared" si="0"/>
        <v>42322</v>
      </c>
    </row>
    <row r="47" spans="6:6" ht="15" customHeight="1" x14ac:dyDescent="0.2">
      <c r="F47" s="10">
        <f t="shared" si="0"/>
        <v>42329</v>
      </c>
    </row>
    <row r="48" spans="6:6" ht="15" customHeight="1" x14ac:dyDescent="0.2">
      <c r="F48" s="10">
        <f t="shared" si="0"/>
        <v>42336</v>
      </c>
    </row>
    <row r="49" spans="6:6" ht="15" customHeight="1" x14ac:dyDescent="0.2">
      <c r="F49" s="10">
        <f t="shared" si="0"/>
        <v>42343</v>
      </c>
    </row>
    <row r="50" spans="6:6" ht="15" customHeight="1" x14ac:dyDescent="0.2">
      <c r="F50" s="10">
        <f t="shared" si="0"/>
        <v>42350</v>
      </c>
    </row>
    <row r="51" spans="6:6" ht="15" customHeight="1" x14ac:dyDescent="0.2">
      <c r="F51" s="10">
        <f t="shared" si="0"/>
        <v>42357</v>
      </c>
    </row>
    <row r="52" spans="6:6" ht="15" customHeight="1" x14ac:dyDescent="0.2">
      <c r="F52" s="10">
        <f t="shared" si="0"/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R27" sqref="R27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59" t="s">
        <v>45</v>
      </c>
      <c r="R2" s="59"/>
      <c r="S2" s="59"/>
      <c r="T2" s="59"/>
      <c r="U2" s="59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59"/>
      <c r="R3" s="59"/>
      <c r="S3" s="59"/>
      <c r="T3" s="59"/>
      <c r="U3" s="59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59"/>
      <c r="R4" s="59"/>
      <c r="S4" s="59"/>
      <c r="T4" s="59"/>
      <c r="U4" s="59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59"/>
      <c r="R5" s="59"/>
      <c r="S5" s="59"/>
      <c r="T5" s="59"/>
      <c r="U5" s="59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59"/>
      <c r="R6" s="59"/>
      <c r="S6" s="59"/>
      <c r="T6" s="59"/>
      <c r="U6" s="59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T16" sqref="T16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59" t="s">
        <v>46</v>
      </c>
      <c r="U3" s="59"/>
      <c r="V3" s="59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59"/>
      <c r="U4" s="59"/>
      <c r="V4" s="59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59"/>
      <c r="U5" s="59"/>
      <c r="V5" s="59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59"/>
      <c r="U6" s="59"/>
      <c r="V6" s="59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J28" sqref="J28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63" t="s">
        <v>22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72" t="s">
        <v>16</v>
      </c>
      <c r="M2" s="54"/>
      <c r="N2" s="54"/>
      <c r="O2" s="54"/>
      <c r="P2" s="54"/>
      <c r="Q2" s="54"/>
      <c r="R2" s="54"/>
    </row>
    <row r="3" spans="1:19" ht="15" customHeight="1" x14ac:dyDescent="0.2">
      <c r="A3" s="1">
        <v>89</v>
      </c>
      <c r="B3" s="14">
        <f>(180-A3)*0.5</f>
        <v>45.5</v>
      </c>
      <c r="C3" s="14">
        <f>SQRT(G3/2*(G3/2-F3)*(G3/2-E3)*(G3/2-D3))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4">
        <f>SQRT((E3^2-(0.5*D3)^2))</f>
        <v>5.5968406613466888</v>
      </c>
      <c r="I3" s="14" t="str">
        <f>IF(A3&gt;90,"platleņķa","cits")</f>
        <v>cits</v>
      </c>
      <c r="J3" s="14">
        <f>COUNT(A3:A76)</f>
        <v>68</v>
      </c>
      <c r="K3" s="14">
        <f>MAX(A:A)</f>
        <v>130</v>
      </c>
    </row>
    <row r="4" spans="1:19" ht="15" customHeight="1" x14ac:dyDescent="0.2">
      <c r="A4" s="1">
        <v>124</v>
      </c>
      <c r="B4" s="14">
        <f t="shared" ref="B4:B67" si="0">(180-A4)*0.5</f>
        <v>28</v>
      </c>
      <c r="C4" s="14">
        <f t="shared" ref="C4:C67" si="1">SQRT(G4/2*(G4/2-F4)*(G4/2-E4)*(G4/2-D4))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SUM(D4:F4)</f>
        <v>23.458270557579432</v>
      </c>
      <c r="H4" s="14">
        <f t="shared" ref="H4:H67" si="3">SQRT((E4^2-(0.5*D4)^2))</f>
        <v>2.9244018741381339</v>
      </c>
      <c r="I4" s="14" t="str">
        <f t="shared" ref="I4:I67" si="4">IF(A4&gt;90,"platleņķa","cits")</f>
        <v>platleņķa</v>
      </c>
      <c r="L4" s="42">
        <v>7</v>
      </c>
      <c r="M4" s="59" t="s">
        <v>47</v>
      </c>
      <c r="N4" s="59"/>
      <c r="O4" s="59"/>
      <c r="P4" s="59"/>
      <c r="Q4" s="59"/>
      <c r="R4" s="59"/>
      <c r="S4" s="1" t="s">
        <v>3885</v>
      </c>
    </row>
    <row r="5" spans="1:19" ht="15" customHeight="1" x14ac:dyDescent="0.2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16.943477313604809</v>
      </c>
      <c r="I5" s="14" t="str">
        <f t="shared" si="4"/>
        <v>cits</v>
      </c>
      <c r="L5" s="42"/>
      <c r="M5" s="59"/>
      <c r="N5" s="59"/>
      <c r="O5" s="59"/>
      <c r="P5" s="59"/>
      <c r="Q5" s="59"/>
      <c r="R5" s="59"/>
    </row>
    <row r="6" spans="1:19" ht="15" customHeight="1" x14ac:dyDescent="0.2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7.2596858264394664</v>
      </c>
      <c r="I6" s="14" t="str">
        <f t="shared" si="4"/>
        <v>platleņķa</v>
      </c>
      <c r="L6" s="42"/>
    </row>
    <row r="7" spans="1:19" ht="15" customHeight="1" x14ac:dyDescent="0.2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37.754741409785694</v>
      </c>
      <c r="I7" s="14" t="str">
        <f t="shared" si="4"/>
        <v>cits</v>
      </c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2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12.166944652070564</v>
      </c>
      <c r="I8" s="14" t="str">
        <f t="shared" si="4"/>
        <v>platleņķa</v>
      </c>
      <c r="L8" s="42"/>
    </row>
    <row r="9" spans="1:19" ht="15" customHeight="1" x14ac:dyDescent="0.2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30.420462835329836</v>
      </c>
      <c r="I9" s="14" t="str">
        <f t="shared" si="4"/>
        <v>cits</v>
      </c>
      <c r="L9" s="42">
        <v>9</v>
      </c>
      <c r="M9" s="59" t="s">
        <v>49</v>
      </c>
      <c r="N9" s="59"/>
      <c r="O9" s="59"/>
      <c r="P9" s="59"/>
      <c r="Q9" s="59"/>
      <c r="R9" s="59"/>
      <c r="S9" s="1" t="s">
        <v>3885</v>
      </c>
    </row>
    <row r="10" spans="1:19" ht="15" customHeight="1" x14ac:dyDescent="0.2">
      <c r="A10" s="1">
        <v>26</v>
      </c>
      <c r="B10" s="14">
        <f t="shared" si="0"/>
        <v>77</v>
      </c>
      <c r="C10" s="14">
        <f t="shared" si="1"/>
        <v>1179.2443067738611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71.469351925688557</v>
      </c>
      <c r="I10" s="14" t="str">
        <f t="shared" si="4"/>
        <v>cits</v>
      </c>
      <c r="L10" s="42"/>
      <c r="M10" s="59"/>
      <c r="N10" s="59"/>
      <c r="O10" s="59"/>
      <c r="P10" s="59"/>
      <c r="Q10" s="59"/>
      <c r="R10" s="59"/>
    </row>
    <row r="11" spans="1:19" ht="15" customHeight="1" x14ac:dyDescent="0.2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9.4262208156469338</v>
      </c>
      <c r="I11" s="14" t="str">
        <f t="shared" si="4"/>
        <v>platleņķa</v>
      </c>
      <c r="L11" s="42"/>
      <c r="M11" s="59"/>
      <c r="N11" s="59"/>
      <c r="O11" s="59"/>
      <c r="P11" s="59"/>
      <c r="Q11" s="59"/>
      <c r="R11" s="59"/>
    </row>
    <row r="12" spans="1:19" ht="15" customHeight="1" x14ac:dyDescent="0.2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20.352147859442507</v>
      </c>
      <c r="I12" s="14" t="str">
        <f t="shared" si="4"/>
        <v>cits</v>
      </c>
    </row>
    <row r="13" spans="1:19" ht="15" customHeight="1" x14ac:dyDescent="0.2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61.2680417362293</v>
      </c>
      <c r="I13" s="14" t="str">
        <f t="shared" si="4"/>
        <v>cits</v>
      </c>
      <c r="L13" s="42">
        <v>10</v>
      </c>
      <c r="M13" s="59" t="s">
        <v>50</v>
      </c>
      <c r="N13" s="59"/>
      <c r="O13" s="59"/>
      <c r="P13" s="59"/>
      <c r="Q13" s="59"/>
      <c r="R13" s="59"/>
      <c r="S13" s="1" t="s">
        <v>3885</v>
      </c>
    </row>
    <row r="14" spans="1:19" ht="15" customHeight="1" x14ac:dyDescent="0.2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59.536322992354364</v>
      </c>
      <c r="I14" s="14" t="str">
        <f t="shared" si="4"/>
        <v>cits</v>
      </c>
      <c r="L14" s="42"/>
      <c r="M14" s="59"/>
      <c r="N14" s="59"/>
      <c r="O14" s="59"/>
      <c r="P14" s="59"/>
      <c r="Q14" s="59"/>
      <c r="R14" s="59"/>
    </row>
    <row r="15" spans="1:19" ht="15" customHeight="1" x14ac:dyDescent="0.2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175.1034482014538</v>
      </c>
      <c r="I15" s="14" t="str">
        <f t="shared" si="4"/>
        <v>cits</v>
      </c>
      <c r="L15" s="42"/>
      <c r="M15" s="59"/>
      <c r="N15" s="59"/>
      <c r="O15" s="59"/>
      <c r="P15" s="59"/>
      <c r="Q15" s="59"/>
      <c r="R15" s="59"/>
    </row>
    <row r="16" spans="1:19" ht="15" customHeight="1" x14ac:dyDescent="0.2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2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32.482956662720369</v>
      </c>
      <c r="I17" s="14" t="str">
        <f t="shared" si="4"/>
        <v>cits</v>
      </c>
      <c r="L17" s="42">
        <v>11</v>
      </c>
      <c r="M17" s="59" t="s">
        <v>51</v>
      </c>
      <c r="N17" s="59"/>
      <c r="O17" s="59"/>
      <c r="P17" s="59"/>
      <c r="Q17" s="59"/>
      <c r="R17" s="59"/>
      <c r="S17" s="1" t="s">
        <v>3885</v>
      </c>
    </row>
    <row r="18" spans="1:19" ht="15" customHeight="1" x14ac:dyDescent="0.2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14.611670846943991</v>
      </c>
      <c r="I18" s="14" t="str">
        <f t="shared" si="4"/>
        <v>platleņķa</v>
      </c>
      <c r="M18" s="59"/>
      <c r="N18" s="59"/>
      <c r="O18" s="59"/>
      <c r="P18" s="59"/>
      <c r="Q18" s="59"/>
      <c r="R18" s="59"/>
    </row>
    <row r="19" spans="1:19" ht="15" customHeight="1" x14ac:dyDescent="0.2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11.963462212383281</v>
      </c>
      <c r="I19" s="14" t="str">
        <f t="shared" si="4"/>
        <v>platleņķa</v>
      </c>
      <c r="M19" s="59"/>
      <c r="N19" s="59"/>
      <c r="O19" s="59"/>
      <c r="P19" s="59"/>
      <c r="Q19" s="59"/>
      <c r="R19" s="59"/>
    </row>
    <row r="20" spans="1:19" ht="15" customHeight="1" x14ac:dyDescent="0.2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2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23.500000000000011</v>
      </c>
      <c r="I21" s="14" t="str">
        <f t="shared" si="4"/>
        <v>cits</v>
      </c>
      <c r="L21" s="42">
        <v>12</v>
      </c>
      <c r="M21" s="59" t="s">
        <v>3910</v>
      </c>
      <c r="N21" s="59"/>
      <c r="O21" s="59"/>
      <c r="P21" s="59"/>
      <c r="Q21" s="59"/>
      <c r="R21" s="59"/>
      <c r="S21" s="1" t="s">
        <v>3884</v>
      </c>
    </row>
    <row r="22" spans="1:19" ht="15" customHeight="1" x14ac:dyDescent="0.2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56.734018715767732</v>
      </c>
      <c r="I22" s="14" t="str">
        <f t="shared" si="4"/>
        <v>cits</v>
      </c>
      <c r="M22" s="59"/>
      <c r="N22" s="59"/>
      <c r="O22" s="59"/>
      <c r="P22" s="59"/>
      <c r="Q22" s="59"/>
      <c r="R22" s="59"/>
    </row>
    <row r="23" spans="1:19" ht="15" customHeight="1" x14ac:dyDescent="0.2">
      <c r="A23" s="1">
        <v>85</v>
      </c>
      <c r="B23" s="14">
        <f t="shared" si="0"/>
        <v>47.5</v>
      </c>
      <c r="C23" s="14">
        <f t="shared" si="1"/>
        <v>917.7904493992578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31.647946531008873</v>
      </c>
      <c r="I23" s="14" t="str">
        <f t="shared" si="4"/>
        <v>cits</v>
      </c>
      <c r="M23" s="59"/>
      <c r="N23" s="59"/>
      <c r="O23" s="59"/>
      <c r="P23" s="59"/>
      <c r="Q23" s="59"/>
      <c r="R23" s="59"/>
    </row>
    <row r="24" spans="1:19" ht="15" customHeight="1" x14ac:dyDescent="0.2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75.547582876120245</v>
      </c>
      <c r="I24" s="14" t="str">
        <f t="shared" si="4"/>
        <v>cits</v>
      </c>
    </row>
    <row r="25" spans="1:19" ht="15" customHeight="1" x14ac:dyDescent="0.2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28.970663244212226</v>
      </c>
      <c r="I25" s="14" t="str">
        <f t="shared" si="4"/>
        <v>platleņķa</v>
      </c>
      <c r="L25" s="42">
        <v>13</v>
      </c>
      <c r="M25" s="59" t="s">
        <v>3889</v>
      </c>
      <c r="N25" s="59"/>
      <c r="O25" s="59"/>
      <c r="P25" s="59"/>
      <c r="Q25" s="59"/>
      <c r="R25" s="59"/>
      <c r="S25" s="1" t="s">
        <v>3885</v>
      </c>
    </row>
    <row r="26" spans="1:19" ht="15" customHeight="1" x14ac:dyDescent="0.2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24.260795458368762</v>
      </c>
      <c r="I26" s="14" t="str">
        <f t="shared" si="4"/>
        <v>platleņķa</v>
      </c>
      <c r="L26" s="42"/>
      <c r="M26" s="59"/>
      <c r="N26" s="59"/>
      <c r="O26" s="59"/>
      <c r="P26" s="59"/>
      <c r="Q26" s="59"/>
      <c r="R26" s="59"/>
    </row>
    <row r="27" spans="1:19" ht="15" customHeight="1" x14ac:dyDescent="0.2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51.592663952866062</v>
      </c>
      <c r="I27" s="14" t="str">
        <f t="shared" si="4"/>
        <v>cits</v>
      </c>
      <c r="L27" s="42"/>
      <c r="M27" s="59"/>
      <c r="N27" s="59"/>
      <c r="O27" s="59"/>
      <c r="P27" s="59"/>
      <c r="Q27" s="59"/>
      <c r="R27" s="59"/>
    </row>
    <row r="28" spans="1:19" ht="15" customHeight="1" x14ac:dyDescent="0.2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23.182024706652676</v>
      </c>
      <c r="I28" s="14" t="str">
        <f t="shared" si="4"/>
        <v>platleņķa</v>
      </c>
    </row>
    <row r="29" spans="1:19" ht="15" customHeight="1" x14ac:dyDescent="0.2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29.713333461828714</v>
      </c>
      <c r="I29" s="14" t="str">
        <f t="shared" si="4"/>
        <v>platleņķa</v>
      </c>
      <c r="L29" s="42">
        <v>14</v>
      </c>
      <c r="M29" s="60" t="s">
        <v>52</v>
      </c>
      <c r="N29" s="60"/>
      <c r="O29" s="60"/>
      <c r="P29" s="60"/>
      <c r="Q29" s="60"/>
      <c r="R29" s="60"/>
      <c r="S29" s="1" t="s">
        <v>3885</v>
      </c>
    </row>
    <row r="30" spans="1:19" ht="15" customHeight="1" x14ac:dyDescent="0.2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20.128830737423272</v>
      </c>
      <c r="I30" s="14" t="str">
        <f t="shared" si="4"/>
        <v>platleņķa</v>
      </c>
      <c r="L30" s="42"/>
      <c r="M30" s="60"/>
      <c r="N30" s="60"/>
      <c r="O30" s="60"/>
      <c r="P30" s="60"/>
      <c r="Q30" s="60"/>
      <c r="R30" s="60"/>
    </row>
    <row r="31" spans="1:19" ht="15" customHeight="1" x14ac:dyDescent="0.2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43.669596148445223</v>
      </c>
      <c r="I31" s="14" t="str">
        <f t="shared" si="4"/>
        <v>platleņķa</v>
      </c>
      <c r="L31" s="42"/>
      <c r="M31" s="60"/>
      <c r="N31" s="60"/>
      <c r="O31" s="60"/>
      <c r="P31" s="60"/>
      <c r="Q31" s="60"/>
      <c r="R31" s="60"/>
    </row>
    <row r="32" spans="1:19" ht="15" customHeight="1" x14ac:dyDescent="0.2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280.97995176512347</v>
      </c>
      <c r="I32" s="14" t="str">
        <f t="shared" si="4"/>
        <v>cits</v>
      </c>
      <c r="L32" s="42"/>
      <c r="M32" s="60"/>
      <c r="N32" s="60"/>
      <c r="O32" s="60"/>
      <c r="P32" s="60"/>
      <c r="Q32" s="60"/>
      <c r="R32" s="60"/>
    </row>
    <row r="33" spans="1:19" ht="15" customHeight="1" x14ac:dyDescent="0.2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28.747333178422746</v>
      </c>
      <c r="I33" s="14" t="str">
        <f t="shared" si="4"/>
        <v>platleņķa</v>
      </c>
    </row>
    <row r="34" spans="1:19" ht="15" customHeight="1" x14ac:dyDescent="0.2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28.747333178422746</v>
      </c>
      <c r="I34" s="14" t="str">
        <f t="shared" si="4"/>
        <v>platleņķa</v>
      </c>
      <c r="L34" s="42">
        <v>15</v>
      </c>
      <c r="M34" s="61" t="s">
        <v>53</v>
      </c>
      <c r="N34" s="61"/>
      <c r="O34" s="61"/>
      <c r="P34" s="61"/>
      <c r="Q34" s="61"/>
      <c r="R34" s="61"/>
      <c r="S34" s="1" t="s">
        <v>3885</v>
      </c>
    </row>
    <row r="35" spans="1:19" ht="15" customHeight="1" x14ac:dyDescent="0.2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61.578340846969169</v>
      </c>
      <c r="I35" s="14" t="str">
        <f t="shared" si="4"/>
        <v>cits</v>
      </c>
      <c r="M35" s="61"/>
      <c r="N35" s="61"/>
      <c r="O35" s="61"/>
      <c r="P35" s="61"/>
      <c r="Q35" s="61"/>
      <c r="R35" s="61"/>
    </row>
    <row r="36" spans="1:19" ht="15" customHeight="1" x14ac:dyDescent="0.2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79.346756058853671</v>
      </c>
      <c r="I36" s="14" t="str">
        <f t="shared" si="4"/>
        <v>cits</v>
      </c>
      <c r="M36" s="61"/>
      <c r="N36" s="61"/>
      <c r="O36" s="61"/>
      <c r="P36" s="61"/>
      <c r="Q36" s="61"/>
      <c r="R36" s="61"/>
    </row>
    <row r="37" spans="1:19" ht="15" customHeight="1" x14ac:dyDescent="0.2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18.777704659785662</v>
      </c>
      <c r="I37" s="14" t="str">
        <f t="shared" si="4"/>
        <v>platleņķa</v>
      </c>
      <c r="M37" s="61"/>
      <c r="N37" s="61"/>
      <c r="O37" s="61"/>
      <c r="P37" s="61"/>
      <c r="Q37" s="61"/>
      <c r="R37" s="61"/>
    </row>
    <row r="38" spans="1:19" ht="15" customHeight="1" x14ac:dyDescent="0.2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277.49941917298418</v>
      </c>
      <c r="I38" s="14" t="str">
        <f t="shared" si="4"/>
        <v>cits</v>
      </c>
    </row>
    <row r="39" spans="1:19" ht="15" customHeight="1" x14ac:dyDescent="0.2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405.03048612538822</v>
      </c>
      <c r="I39" s="14" t="str">
        <f t="shared" si="4"/>
        <v>cits</v>
      </c>
      <c r="M39" s="55"/>
      <c r="N39" s="55"/>
      <c r="O39" s="55"/>
      <c r="P39" s="55"/>
      <c r="Q39" s="55"/>
      <c r="R39" s="55"/>
    </row>
    <row r="40" spans="1:19" ht="15" customHeight="1" x14ac:dyDescent="0.2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71.014083110323995</v>
      </c>
      <c r="I40" s="14" t="str">
        <f t="shared" si="4"/>
        <v>cits</v>
      </c>
      <c r="M40" s="55"/>
      <c r="N40" s="55"/>
      <c r="O40" s="55"/>
      <c r="P40" s="55"/>
      <c r="Q40" s="55"/>
      <c r="R40" s="55"/>
    </row>
    <row r="41" spans="1:19" ht="15" customHeight="1" x14ac:dyDescent="0.2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166.26866308064572</v>
      </c>
      <c r="I41" s="14" t="str">
        <f t="shared" si="4"/>
        <v>cits</v>
      </c>
    </row>
    <row r="42" spans="1:19" ht="15" customHeight="1" x14ac:dyDescent="0.2">
      <c r="A42" s="1">
        <v>25</v>
      </c>
      <c r="B42" s="14">
        <f t="shared" si="0"/>
        <v>77.5</v>
      </c>
      <c r="C42" s="14">
        <f t="shared" si="1"/>
        <v>8732.7316630897512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198.47117416113053</v>
      </c>
      <c r="I42" s="14" t="str">
        <f t="shared" si="4"/>
        <v>cits</v>
      </c>
    </row>
    <row r="43" spans="1:19" ht="15" customHeight="1" x14ac:dyDescent="0.2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47.116629277470921</v>
      </c>
      <c r="I43" s="14" t="str">
        <f t="shared" si="4"/>
        <v>cits</v>
      </c>
    </row>
    <row r="44" spans="1:19" ht="15" customHeight="1" x14ac:dyDescent="0.2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182.49053247588094</v>
      </c>
      <c r="I44" s="14" t="str">
        <f t="shared" si="4"/>
        <v>cits</v>
      </c>
    </row>
    <row r="45" spans="1:19" ht="15" customHeight="1" x14ac:dyDescent="0.2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45.695422734879592</v>
      </c>
      <c r="I45" s="14" t="str">
        <f t="shared" si="4"/>
        <v>platleņķa</v>
      </c>
    </row>
    <row r="46" spans="1:19" ht="15" customHeight="1" x14ac:dyDescent="0.2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2">
      <c r="A47" s="1">
        <v>127</v>
      </c>
      <c r="B47" s="14">
        <f t="shared" si="0"/>
        <v>26.5</v>
      </c>
      <c r="C47" s="14">
        <f t="shared" si="1"/>
        <v>1322.3630699597131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25.676952814751708</v>
      </c>
      <c r="I47" s="14" t="str">
        <f t="shared" si="4"/>
        <v>platleņķa</v>
      </c>
    </row>
    <row r="48" spans="1:19" ht="15" customHeight="1" x14ac:dyDescent="0.2">
      <c r="A48" s="1">
        <v>12</v>
      </c>
      <c r="B48" s="14">
        <f t="shared" si="0"/>
        <v>84</v>
      </c>
      <c r="C48" s="14">
        <f t="shared" si="1"/>
        <v>26725.849751911213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504.26131607379705</v>
      </c>
      <c r="I48" s="14" t="str">
        <f t="shared" si="4"/>
        <v>cits</v>
      </c>
    </row>
    <row r="49" spans="1:9" ht="15" customHeight="1" x14ac:dyDescent="0.2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2">
      <c r="A50" s="1">
        <v>105</v>
      </c>
      <c r="B50" s="14">
        <f t="shared" si="0"/>
        <v>37.5</v>
      </c>
      <c r="C50" s="14">
        <f t="shared" si="1"/>
        <v>2449.4995773758383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43.353974820811253</v>
      </c>
      <c r="I50" s="14" t="str">
        <f t="shared" si="4"/>
        <v>platleņķa</v>
      </c>
    </row>
    <row r="51" spans="1:9" ht="15" customHeight="1" x14ac:dyDescent="0.2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83.546658394413711</v>
      </c>
      <c r="I51" s="14" t="str">
        <f t="shared" si="4"/>
        <v>cits</v>
      </c>
    </row>
    <row r="52" spans="1:9" ht="15" customHeight="1" x14ac:dyDescent="0.2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131.65798386990227</v>
      </c>
      <c r="I52" s="14" t="str">
        <f t="shared" si="4"/>
        <v>cits</v>
      </c>
    </row>
    <row r="53" spans="1:9" ht="15" customHeight="1" x14ac:dyDescent="0.2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146.06284668107267</v>
      </c>
      <c r="I53" s="14" t="str">
        <f t="shared" si="4"/>
        <v>cits</v>
      </c>
    </row>
    <row r="54" spans="1:9" ht="15" customHeight="1" x14ac:dyDescent="0.2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2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2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2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123.57727123609253</v>
      </c>
      <c r="I57" s="14" t="str">
        <f t="shared" si="4"/>
        <v>cits</v>
      </c>
    </row>
    <row r="58" spans="1:9" ht="15" customHeight="1" x14ac:dyDescent="0.2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40.349583624807757</v>
      </c>
      <c r="I58" s="14" t="str">
        <f t="shared" si="4"/>
        <v>platleņķa</v>
      </c>
    </row>
    <row r="59" spans="1:9" ht="15" customHeight="1" x14ac:dyDescent="0.2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2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2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40.252510510059906</v>
      </c>
      <c r="I61" s="14" t="str">
        <f t="shared" si="4"/>
        <v>platleņķa</v>
      </c>
    </row>
    <row r="62" spans="1:9" ht="15" customHeight="1" x14ac:dyDescent="0.2">
      <c r="A62" s="1">
        <v>118</v>
      </c>
      <c r="B62" s="14">
        <f t="shared" si="0"/>
        <v>31</v>
      </c>
      <c r="C62" s="14">
        <f t="shared" si="1"/>
        <v>3797.5893274089381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47.768419212691043</v>
      </c>
      <c r="I62" s="14" t="str">
        <f t="shared" si="4"/>
        <v>platleņķa</v>
      </c>
    </row>
    <row r="63" spans="1:9" ht="15" customHeight="1" x14ac:dyDescent="0.2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242.50160828593118</v>
      </c>
      <c r="I63" s="14" t="str">
        <f t="shared" si="4"/>
        <v>cits</v>
      </c>
    </row>
    <row r="64" spans="1:9" ht="15" customHeight="1" x14ac:dyDescent="0.2">
      <c r="A64" s="1">
        <v>127</v>
      </c>
      <c r="B64" s="14">
        <f t="shared" si="0"/>
        <v>26.5</v>
      </c>
      <c r="C64" s="14">
        <f t="shared" si="1"/>
        <v>3949.2649173912332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44.373763116755391</v>
      </c>
      <c r="I64" s="14" t="str">
        <f t="shared" si="4"/>
        <v>platleņķa</v>
      </c>
    </row>
    <row r="65" spans="1:9" ht="15" customHeight="1" x14ac:dyDescent="0.2">
      <c r="A65" s="1">
        <v>130</v>
      </c>
      <c r="B65" s="14">
        <f t="shared" si="0"/>
        <v>25</v>
      </c>
      <c r="C65" s="14">
        <f t="shared" si="1"/>
        <v>3904.0442909881949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42.667150721182367</v>
      </c>
      <c r="I65" s="14" t="str">
        <f t="shared" si="4"/>
        <v>platleņķa</v>
      </c>
    </row>
    <row r="66" spans="1:9" ht="15" customHeight="1" x14ac:dyDescent="0.2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200.51139706764371</v>
      </c>
      <c r="I66" s="14" t="str">
        <f t="shared" si="4"/>
        <v>cits</v>
      </c>
    </row>
    <row r="67" spans="1:9" ht="15" customHeight="1" x14ac:dyDescent="0.2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894.35025869692299</v>
      </c>
      <c r="I67" s="14" t="str">
        <f t="shared" si="4"/>
        <v>cits</v>
      </c>
    </row>
    <row r="68" spans="1:9" ht="15" customHeight="1" x14ac:dyDescent="0.2">
      <c r="A68" s="1">
        <v>29</v>
      </c>
      <c r="B68" s="14">
        <f t="shared" ref="B68:B70" si="5">(180-A68)*0.5</f>
        <v>75.5</v>
      </c>
      <c r="C68" s="14">
        <f t="shared" ref="C68:C70" si="6">SQRT(G68/2*(G68/2-F68)*(G68/2-E68)*(G68/2-D68))</f>
        <v>35265.390103750215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4">
        <f t="shared" ref="H68:H70" si="8">SQRT((E68^2-(0.5*D68)^2))</f>
        <v>369.27110056282942</v>
      </c>
      <c r="I68" s="14" t="str">
        <f t="shared" ref="I68:I70" si="9">IF(A68&gt;90,"platleņķa","cits")</f>
        <v>cits</v>
      </c>
    </row>
    <row r="69" spans="1:9" ht="15" customHeight="1" x14ac:dyDescent="0.2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55.440390883760969</v>
      </c>
      <c r="I69" s="14" t="str">
        <f t="shared" si="9"/>
        <v>platleņķa</v>
      </c>
    </row>
    <row r="70" spans="1:9" ht="15" customHeight="1" x14ac:dyDescent="0.2">
      <c r="A70" s="1">
        <v>42</v>
      </c>
      <c r="B70" s="14">
        <f t="shared" si="5"/>
        <v>69</v>
      </c>
      <c r="C70" s="14">
        <f t="shared" si="6"/>
        <v>30385.758850588521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281.34961898693058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G15" sqref="G15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2" t="s">
        <v>14</v>
      </c>
      <c r="C2" s="62"/>
      <c r="D2" s="62"/>
      <c r="E2" s="62"/>
      <c r="F2" s="62"/>
      <c r="G2" s="62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59" t="s">
        <v>59</v>
      </c>
      <c r="L3" s="59"/>
      <c r="M3" s="59"/>
      <c r="N3" s="59"/>
      <c r="O3" s="59"/>
      <c r="P3" s="16" t="s">
        <v>3891</v>
      </c>
    </row>
    <row r="4" spans="1:16" x14ac:dyDescent="0.2">
      <c r="A4" s="17">
        <v>20</v>
      </c>
      <c r="B4" s="18">
        <f>SIN($H4)*B$3*COS($H4)*B$3/2</f>
        <v>16.069690242163482</v>
      </c>
      <c r="C4" s="18">
        <f t="shared" ref="C4:G9" si="0">SIN($H4)*C$3*COS($H4)*C$3/2</f>
        <v>23.140353948715415</v>
      </c>
      <c r="D4" s="18">
        <f t="shared" si="0"/>
        <v>31.496592874640427</v>
      </c>
      <c r="E4" s="18">
        <f t="shared" si="0"/>
        <v>41.138407019938519</v>
      </c>
      <c r="F4" s="18">
        <f t="shared" si="0"/>
        <v>52.065796384609691</v>
      </c>
      <c r="G4" s="18">
        <f>SIN($H4)*G$3*COS($H4)*G$3/2</f>
        <v>64.278760968653927</v>
      </c>
      <c r="H4" s="16">
        <f>A4/180*PI()</f>
        <v>0.3490658503988659</v>
      </c>
      <c r="K4" s="59"/>
      <c r="L4" s="59"/>
      <c r="M4" s="59"/>
      <c r="N4" s="59"/>
      <c r="O4" s="59"/>
    </row>
    <row r="5" spans="1:16" x14ac:dyDescent="0.2">
      <c r="A5" s="17">
        <v>30</v>
      </c>
      <c r="B5" s="18">
        <f t="shared" ref="B5:B9" si="1">SIN($H5)*B$3*COS($H5)*B$3/2</f>
        <v>21.650635094610962</v>
      </c>
      <c r="C5" s="18">
        <f t="shared" si="0"/>
        <v>31.176914536239785</v>
      </c>
      <c r="D5" s="18">
        <f t="shared" si="0"/>
        <v>42.43524478543749</v>
      </c>
      <c r="E5" s="18">
        <f t="shared" si="0"/>
        <v>55.42562584220407</v>
      </c>
      <c r="F5" s="18">
        <f t="shared" si="0"/>
        <v>70.148057706539518</v>
      </c>
      <c r="G5" s="18">
        <f t="shared" si="0"/>
        <v>86.602540378443848</v>
      </c>
      <c r="H5" s="16">
        <f t="shared" ref="H5:H9" si="2">A5/180*PI()</f>
        <v>0.52359877559829882</v>
      </c>
      <c r="K5" s="59"/>
      <c r="L5" s="59"/>
      <c r="M5" s="59"/>
      <c r="N5" s="59"/>
      <c r="O5" s="59"/>
    </row>
    <row r="6" spans="1:16" x14ac:dyDescent="0.2">
      <c r="A6" s="17">
        <v>40</v>
      </c>
      <c r="B6" s="18">
        <f t="shared" si="1"/>
        <v>24.620193825305201</v>
      </c>
      <c r="C6" s="18">
        <f t="shared" si="0"/>
        <v>35.453079108439489</v>
      </c>
      <c r="D6" s="18">
        <f t="shared" si="0"/>
        <v>48.255579897598189</v>
      </c>
      <c r="E6" s="18">
        <f t="shared" si="0"/>
        <v>63.027696192781306</v>
      </c>
      <c r="F6" s="18">
        <f t="shared" si="0"/>
        <v>79.769427993988856</v>
      </c>
      <c r="G6" s="18">
        <f t="shared" si="0"/>
        <v>98.480775301220802</v>
      </c>
      <c r="H6" s="16">
        <f t="shared" si="2"/>
        <v>0.69813170079773179</v>
      </c>
      <c r="K6" s="59"/>
      <c r="L6" s="59"/>
      <c r="M6" s="59"/>
      <c r="N6" s="59"/>
      <c r="O6" s="59"/>
    </row>
    <row r="7" spans="1:16" x14ac:dyDescent="0.2">
      <c r="A7" s="17">
        <v>50</v>
      </c>
      <c r="B7" s="18">
        <f t="shared" si="1"/>
        <v>24.620193825305204</v>
      </c>
      <c r="C7" s="18">
        <f t="shared" si="0"/>
        <v>35.453079108439496</v>
      </c>
      <c r="D7" s="18">
        <f t="shared" si="0"/>
        <v>48.255579897598196</v>
      </c>
      <c r="E7" s="18">
        <f t="shared" si="0"/>
        <v>63.02769619278132</v>
      </c>
      <c r="F7" s="18">
        <f t="shared" si="0"/>
        <v>79.769427993988856</v>
      </c>
      <c r="G7" s="18">
        <f t="shared" si="0"/>
        <v>98.480775301220817</v>
      </c>
      <c r="H7" s="16">
        <f t="shared" si="2"/>
        <v>0.87266462599716477</v>
      </c>
      <c r="K7" s="59"/>
      <c r="L7" s="59"/>
      <c r="M7" s="59"/>
      <c r="N7" s="59"/>
      <c r="O7" s="59"/>
    </row>
    <row r="8" spans="1:16" x14ac:dyDescent="0.2">
      <c r="A8" s="17">
        <v>60</v>
      </c>
      <c r="B8" s="18">
        <f t="shared" si="1"/>
        <v>21.650635094610969</v>
      </c>
      <c r="C8" s="18">
        <f t="shared" si="0"/>
        <v>31.176914536239799</v>
      </c>
      <c r="D8" s="18">
        <f t="shared" si="0"/>
        <v>42.435244785437504</v>
      </c>
      <c r="E8" s="18">
        <f t="shared" si="0"/>
        <v>55.425625842204084</v>
      </c>
      <c r="F8" s="18">
        <f t="shared" si="0"/>
        <v>70.148057706539547</v>
      </c>
      <c r="G8" s="18">
        <f t="shared" si="0"/>
        <v>86.602540378443877</v>
      </c>
      <c r="H8" s="16">
        <f t="shared" si="2"/>
        <v>1.0471975511965976</v>
      </c>
    </row>
    <row r="9" spans="1:16" x14ac:dyDescent="0.2">
      <c r="A9" s="17">
        <v>70</v>
      </c>
      <c r="B9" s="18">
        <f t="shared" si="1"/>
        <v>16.069690242163485</v>
      </c>
      <c r="C9" s="18">
        <f t="shared" si="0"/>
        <v>23.140353948715418</v>
      </c>
      <c r="D9" s="18">
        <f t="shared" si="0"/>
        <v>31.496592874640434</v>
      </c>
      <c r="E9" s="18">
        <f t="shared" si="0"/>
        <v>41.138407019938526</v>
      </c>
      <c r="F9" s="18">
        <f t="shared" si="0"/>
        <v>52.065796384609691</v>
      </c>
      <c r="G9" s="18">
        <f t="shared" si="0"/>
        <v>64.278760968653941</v>
      </c>
      <c r="H9" s="16">
        <f t="shared" si="2"/>
        <v>1.2217304763960306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4" sqref="N4:N71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9.140625" style="1"/>
    <col min="15" max="15" width="12.28515625" style="42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3" t="s">
        <v>25</v>
      </c>
      <c r="B2" s="63"/>
      <c r="C2" s="63"/>
      <c r="D2" s="63"/>
      <c r="E2" s="63"/>
      <c r="F2" s="63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IF(MAX(G4:I4)&lt;90,"šaurleņķa","nav šaurleņķa")</f>
        <v>nav šaurleņķa</v>
      </c>
      <c r="O4" s="42">
        <v>20</v>
      </c>
      <c r="P4" s="61" t="s">
        <v>56</v>
      </c>
      <c r="Q4" s="61"/>
      <c r="R4" s="61"/>
      <c r="S4" s="61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IF(MAX(G5:I5)&lt;90,"šaurleņķa","nav šaurleņķa")</f>
        <v>nav šaurleņķa</v>
      </c>
      <c r="P5" s="61"/>
      <c r="Q5" s="61"/>
      <c r="R5" s="61"/>
      <c r="S5" s="61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nav šaurleņķa</v>
      </c>
      <c r="P6" s="61"/>
      <c r="Q6" s="61"/>
      <c r="R6" s="61"/>
      <c r="S6" s="61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nav šaurleņķa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nav šaurleņķa</v>
      </c>
      <c r="O8" s="42">
        <v>21</v>
      </c>
      <c r="P8" s="64" t="s">
        <v>3890</v>
      </c>
      <c r="Q8" s="64"/>
      <c r="R8" s="64"/>
      <c r="S8" s="64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šaurleņķa</v>
      </c>
      <c r="P9" s="64"/>
      <c r="Q9" s="64"/>
      <c r="R9" s="64"/>
      <c r="S9" s="64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nav šaurleņķa</v>
      </c>
      <c r="P10" s="64"/>
      <c r="Q10" s="64"/>
      <c r="R10" s="64"/>
      <c r="S10" s="64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šaurleņķa</v>
      </c>
      <c r="P11" s="64"/>
      <c r="Q11" s="64"/>
      <c r="R11" s="64"/>
      <c r="S11" s="64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nav šaurleņķa</v>
      </c>
      <c r="P12" s="64"/>
      <c r="Q12" s="64"/>
      <c r="R12" s="64"/>
      <c r="S12" s="64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nav šaurleņķa</v>
      </c>
      <c r="P13" s="64"/>
      <c r="Q13" s="64"/>
      <c r="R13" s="64"/>
      <c r="S13" s="64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šaurleņķa</v>
      </c>
      <c r="P14" s="64"/>
      <c r="Q14" s="64"/>
      <c r="R14" s="64"/>
      <c r="S14" s="64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nav šaurleņķa</v>
      </c>
      <c r="P15" s="64"/>
      <c r="Q15" s="64"/>
      <c r="R15" s="64"/>
      <c r="S15" s="64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nav šaurleņķa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šaurleņķa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šaurleņķa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nav šaurleņķa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nav šaurleņķa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nav šaurleņķa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nav šaurleņķa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šaurleņķa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nav šaurleņķa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šaurleņķa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nav šaurleņķa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šaurleņķa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šaurleņķa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šaurleņķa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šaurleņķa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šaurleņķa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nav šaurleņķa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šaurleņķa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šaurleņķa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šaurleņķa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šaurleņķa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nav šaurleņķa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šaurleņķa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nav šaurleņķa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nav šaurleņķa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šaurleņķa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šaurleņķa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šaurleņķa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nav šaurleņķa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šaurleņķa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šaurleņķa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nav šaurleņķa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šaurleņķa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nav šaurleņķa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šaurleņķa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šaurleņķa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nav šaurleņķa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nav šaurleņķa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šaurleņķa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šaurleņķa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šaurleņķa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nav šaurleņķa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šaurleņķa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nav šaurleņķa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nav šaurleņķa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nav šaurleņķa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nav šaurleņķa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šaurleņķa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nav šaurleņķa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šaurleņķa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šaurleņķa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nav šaurleņķa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šaurleņķa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IF(MAX(G69:I69)&lt;90,"šaurleņķa","nav šaurleņķa")</f>
        <v>šaurleņķa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šaurleņķa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O22" sqref="O22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3" t="s">
        <v>25</v>
      </c>
      <c r="B2" s="63"/>
      <c r="C2" s="63"/>
      <c r="D2" s="63"/>
      <c r="E2" s="63"/>
      <c r="F2" s="63"/>
      <c r="G2" s="2"/>
      <c r="H2" s="2"/>
      <c r="I2" s="2"/>
      <c r="J2" s="2"/>
      <c r="N2" s="73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73">
        <v>75.63225833085292</v>
      </c>
      <c r="H4" s="73">
        <v>52.216172453709319</v>
      </c>
      <c r="I4" s="73">
        <v>52.151569215437704</v>
      </c>
      <c r="J4" s="73">
        <v>14943.999999999995</v>
      </c>
      <c r="K4" s="73">
        <v>152.30561381643159</v>
      </c>
      <c r="L4" s="73">
        <v>124.1491039033307</v>
      </c>
      <c r="M4" s="73">
        <v>124.25779653607253</v>
      </c>
      <c r="N4" s="73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73">
        <v>91.450098927324149</v>
      </c>
      <c r="H5" s="73">
        <v>43.425931385646315</v>
      </c>
      <c r="I5" s="73">
        <v>45.123969687029415</v>
      </c>
      <c r="J5" s="73">
        <v>18526.999999999989</v>
      </c>
      <c r="K5" s="73">
        <v>194.98974332000131</v>
      </c>
      <c r="L5" s="73">
        <v>138.2208377922808</v>
      </c>
      <c r="M5" s="73">
        <v>134.08206442324789</v>
      </c>
      <c r="N5" s="73">
        <v>467.29264553553003</v>
      </c>
      <c r="P5" s="42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73">
        <v>63.086615042098479</v>
      </c>
      <c r="H6" s="73">
        <v>43.43723958735621</v>
      </c>
      <c r="I6" s="73">
        <v>73.476145370545396</v>
      </c>
      <c r="J6" s="73">
        <v>13709.000000000005</v>
      </c>
      <c r="K6" s="73">
        <v>136.18002790424151</v>
      </c>
      <c r="L6" s="73">
        <v>146.4137971640651</v>
      </c>
      <c r="M6" s="73">
        <v>105.00476179678711</v>
      </c>
      <c r="N6" s="73">
        <v>387.59858686509369</v>
      </c>
      <c r="P6" s="42">
        <v>18</v>
      </c>
      <c r="Q6" s="61" t="s">
        <v>54</v>
      </c>
      <c r="R6" s="61"/>
      <c r="S6" s="61"/>
      <c r="T6" s="61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73">
        <v>27.0585082130677</v>
      </c>
      <c r="H7" s="73">
        <v>84.055839131018146</v>
      </c>
      <c r="I7" s="73">
        <v>68.8856526559142</v>
      </c>
      <c r="J7" s="73">
        <v>3496</v>
      </c>
      <c r="K7" s="73">
        <v>41.400483088968905</v>
      </c>
      <c r="L7" s="73">
        <v>84.899941107164494</v>
      </c>
      <c r="M7" s="73">
        <v>90.520715861066847</v>
      </c>
      <c r="N7" s="73">
        <v>216.82114005720024</v>
      </c>
      <c r="P7" s="42"/>
      <c r="Q7" s="61"/>
      <c r="R7" s="61"/>
      <c r="S7" s="61"/>
      <c r="T7" s="61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73">
        <v>23.543366594656415</v>
      </c>
      <c r="H8" s="73">
        <v>34.861933316812738</v>
      </c>
      <c r="I8" s="73">
        <v>121.5947000885308</v>
      </c>
      <c r="J8" s="73">
        <v>11487.999999999984</v>
      </c>
      <c r="K8" s="73">
        <v>97.082439194738001</v>
      </c>
      <c r="L8" s="73">
        <v>207.01932276963907</v>
      </c>
      <c r="M8" s="73">
        <v>138.92443989449805</v>
      </c>
      <c r="N8" s="73">
        <v>443.02620185887514</v>
      </c>
      <c r="P8" s="42"/>
      <c r="Q8" s="61"/>
      <c r="R8" s="61"/>
      <c r="S8" s="61"/>
      <c r="T8" s="61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73">
        <v>130.83916110256348</v>
      </c>
      <c r="H9" s="73">
        <v>34.873575000471696</v>
      </c>
      <c r="I9" s="73">
        <v>14.287263896964657</v>
      </c>
      <c r="J9" s="73">
        <v>1857.9999999999986</v>
      </c>
      <c r="K9" s="73">
        <v>99.809819156233317</v>
      </c>
      <c r="L9" s="73">
        <v>32.557641192199412</v>
      </c>
      <c r="M9" s="73">
        <v>75.432088662584434</v>
      </c>
      <c r="N9" s="73">
        <v>207.79954901101718</v>
      </c>
      <c r="P9" s="42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73">
        <v>52.418157794066431</v>
      </c>
      <c r="H10" s="73">
        <v>37.449936488316631</v>
      </c>
      <c r="I10" s="73">
        <v>90.131905717616903</v>
      </c>
      <c r="J10" s="73">
        <v>16506.000000000007</v>
      </c>
      <c r="K10" s="73">
        <v>146.66969693839283</v>
      </c>
      <c r="L10" s="73">
        <v>185.07566020414461</v>
      </c>
      <c r="M10" s="73">
        <v>112.53888216967503</v>
      </c>
      <c r="N10" s="73">
        <v>444.28423931221249</v>
      </c>
      <c r="P10" s="42">
        <v>19</v>
      </c>
      <c r="Q10" s="61" t="s">
        <v>55</v>
      </c>
      <c r="R10" s="61"/>
      <c r="S10" s="61"/>
      <c r="T10" s="61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73">
        <v>54.07593731588512</v>
      </c>
      <c r="H11" s="73">
        <v>97.184267392426889</v>
      </c>
      <c r="I11" s="73">
        <v>28.739795291688058</v>
      </c>
      <c r="J11" s="73">
        <v>12018.999999999998</v>
      </c>
      <c r="K11" s="73">
        <v>142.83556979968259</v>
      </c>
      <c r="L11" s="73">
        <v>84.811555816409836</v>
      </c>
      <c r="M11" s="73">
        <v>175</v>
      </c>
      <c r="N11" s="73">
        <v>402.64712561609241</v>
      </c>
      <c r="Q11" s="61"/>
      <c r="R11" s="61"/>
      <c r="S11" s="61"/>
      <c r="T11" s="61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73">
        <v>63.807999609549135</v>
      </c>
      <c r="H12" s="73">
        <v>84.478065430793094</v>
      </c>
      <c r="I12" s="73">
        <v>31.71393495965787</v>
      </c>
      <c r="J12" s="73">
        <v>16333</v>
      </c>
      <c r="K12" s="73">
        <v>167.36188335460378</v>
      </c>
      <c r="L12" s="73">
        <v>98.045907614749524</v>
      </c>
      <c r="M12" s="73">
        <v>185.64751546950473</v>
      </c>
      <c r="N12" s="73">
        <v>451.055306438858</v>
      </c>
      <c r="Q12" s="61"/>
      <c r="R12" s="61"/>
      <c r="S12" s="61"/>
      <c r="T12" s="61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73">
        <v>178.14761269720339</v>
      </c>
      <c r="H13" s="73">
        <v>1.2775709972209182</v>
      </c>
      <c r="I13" s="73">
        <v>0.57481630556929753</v>
      </c>
      <c r="J13" s="73">
        <v>149.99999999977916</v>
      </c>
      <c r="K13" s="73">
        <v>147.23111084278349</v>
      </c>
      <c r="L13" s="73">
        <v>45.694638635183452</v>
      </c>
      <c r="M13" s="73">
        <v>101.55294185792945</v>
      </c>
      <c r="N13" s="73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73">
        <v>80.614542737266675</v>
      </c>
      <c r="H14" s="73">
        <v>54.623307379650178</v>
      </c>
      <c r="I14" s="73">
        <v>44.762149883083083</v>
      </c>
      <c r="J14" s="73">
        <v>15112.999999999996</v>
      </c>
      <c r="K14" s="73">
        <v>161.15210206509875</v>
      </c>
      <c r="L14" s="73">
        <v>115.0173899895142</v>
      </c>
      <c r="M14" s="73">
        <v>133.18032887780387</v>
      </c>
      <c r="N14" s="73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73">
        <v>51.441999439848495</v>
      </c>
      <c r="H15" s="73">
        <v>69.673927973325561</v>
      </c>
      <c r="I15" s="73">
        <v>58.884072586825873</v>
      </c>
      <c r="J15" s="73">
        <v>5085.9999999999991</v>
      </c>
      <c r="K15" s="73">
        <v>70.384657419071104</v>
      </c>
      <c r="L15" s="73">
        <v>77.058419397233934</v>
      </c>
      <c r="M15" s="73">
        <v>84.403791384036765</v>
      </c>
      <c r="N15" s="73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73">
        <v>71.182480931978702</v>
      </c>
      <c r="H16" s="73">
        <v>19.153856733935445</v>
      </c>
      <c r="I16" s="73">
        <v>89.663662334085799</v>
      </c>
      <c r="J16" s="73">
        <v>3406.9999999999914</v>
      </c>
      <c r="K16" s="73">
        <v>99.141313285632847</v>
      </c>
      <c r="L16" s="73">
        <v>104.7377677822093</v>
      </c>
      <c r="M16" s="73">
        <v>34.365680554879162</v>
      </c>
      <c r="N16" s="73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73">
        <v>145.50972490545837</v>
      </c>
      <c r="H17" s="73">
        <v>15.025457165319999</v>
      </c>
      <c r="I17" s="73">
        <v>19.464817929222001</v>
      </c>
      <c r="J17" s="73">
        <v>3846.0000000000418</v>
      </c>
      <c r="K17" s="73">
        <v>158.7765725792064</v>
      </c>
      <c r="L17" s="73">
        <v>93.434469014384618</v>
      </c>
      <c r="M17" s="73">
        <v>72.691127381544987</v>
      </c>
      <c r="N17" s="73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73">
        <v>43.815522268731321</v>
      </c>
      <c r="H18" s="73">
        <v>72.658871105027345</v>
      </c>
      <c r="I18" s="73">
        <v>63.525606626241341</v>
      </c>
      <c r="J18" s="73">
        <v>10372.999999999998</v>
      </c>
      <c r="K18" s="73">
        <v>91.678787077491378</v>
      </c>
      <c r="L18" s="73">
        <v>118.53269591129698</v>
      </c>
      <c r="M18" s="73">
        <v>126.40015822774906</v>
      </c>
      <c r="N18" s="73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73">
        <v>22.290919139948436</v>
      </c>
      <c r="H19" s="73">
        <v>142.89719396423553</v>
      </c>
      <c r="I19" s="73">
        <v>14.81188689581653</v>
      </c>
      <c r="J19" s="73">
        <v>3709.9999999999955</v>
      </c>
      <c r="K19" s="73">
        <v>95.524865872714003</v>
      </c>
      <c r="L19" s="73">
        <v>64.381674411279491</v>
      </c>
      <c r="M19" s="73">
        <v>151.92103211866353</v>
      </c>
      <c r="N19" s="73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73">
        <v>61.987858592645289</v>
      </c>
      <c r="H20" s="73">
        <v>75.612768399279631</v>
      </c>
      <c r="I20" s="73">
        <v>42.399373008075095</v>
      </c>
      <c r="J20" s="73">
        <v>4487</v>
      </c>
      <c r="K20" s="73">
        <v>77.878109889750149</v>
      </c>
      <c r="L20" s="73">
        <v>59.481089431852205</v>
      </c>
      <c r="M20" s="73">
        <v>85.445889310135925</v>
      </c>
      <c r="N20" s="73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73">
        <v>9.5415387125488937</v>
      </c>
      <c r="H21" s="73">
        <v>15.008913676658743</v>
      </c>
      <c r="I21" s="73">
        <v>155.44954761079268</v>
      </c>
      <c r="J21" s="73">
        <v>2109.0000000000082</v>
      </c>
      <c r="K21" s="73">
        <v>57</v>
      </c>
      <c r="L21" s="73">
        <v>142.87407042567241</v>
      </c>
      <c r="M21" s="73">
        <v>89.050547443572739</v>
      </c>
      <c r="N21" s="73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73">
        <v>23.776592785988477</v>
      </c>
      <c r="H22" s="73">
        <v>115.15690317286972</v>
      </c>
      <c r="I22" s="73">
        <v>41.066504041141755</v>
      </c>
      <c r="J22" s="73">
        <v>8302.0000000000018</v>
      </c>
      <c r="K22" s="73">
        <v>75.026661927610775</v>
      </c>
      <c r="L22" s="73">
        <v>122.24974437601087</v>
      </c>
      <c r="M22" s="73">
        <v>168.43990026119107</v>
      </c>
      <c r="N22" s="73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73">
        <v>38.482822923302493</v>
      </c>
      <c r="H23" s="73">
        <v>118.53761429541746</v>
      </c>
      <c r="I23" s="73">
        <v>22.979562781280098</v>
      </c>
      <c r="J23" s="73">
        <v>4908</v>
      </c>
      <c r="K23" s="73">
        <v>94.36630754670864</v>
      </c>
      <c r="L23" s="73">
        <v>59.203040462462738</v>
      </c>
      <c r="M23" s="73">
        <v>133.22161986704711</v>
      </c>
      <c r="N23" s="73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73">
        <v>63.257012191511606</v>
      </c>
      <c r="H24" s="73">
        <v>77.54669319198446</v>
      </c>
      <c r="I24" s="73">
        <v>39.19629461650387</v>
      </c>
      <c r="J24" s="73">
        <v>6429.9999999999991</v>
      </c>
      <c r="K24" s="73">
        <v>96.462427918853464</v>
      </c>
      <c r="L24" s="73">
        <v>68.264192663504048</v>
      </c>
      <c r="M24" s="73">
        <v>105.47511554864494</v>
      </c>
      <c r="N24" s="73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73">
        <v>43.023902103128215</v>
      </c>
      <c r="H25" s="73">
        <v>14.772938141053261</v>
      </c>
      <c r="I25" s="73">
        <v>122.20315975581845</v>
      </c>
      <c r="J25" s="73">
        <v>4910.9999999999754</v>
      </c>
      <c r="K25" s="73">
        <v>124.61942063739504</v>
      </c>
      <c r="L25" s="73">
        <v>154.54772725601629</v>
      </c>
      <c r="M25" s="73">
        <v>46.572524088780071</v>
      </c>
      <c r="N25" s="73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73">
        <v>130.66768601681142</v>
      </c>
      <c r="H26" s="73">
        <v>41.947117485207571</v>
      </c>
      <c r="I26" s="73">
        <v>7.3851964979808304</v>
      </c>
      <c r="J26" s="73">
        <v>2555.9999999999995</v>
      </c>
      <c r="K26" s="73">
        <v>150.21318184500319</v>
      </c>
      <c r="L26" s="73">
        <v>25.45584412271571</v>
      </c>
      <c r="M26" s="73">
        <v>132.3782459469833</v>
      </c>
      <c r="N26" s="73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73">
        <v>55.042940723831862</v>
      </c>
      <c r="H27" s="73">
        <v>23.040218366450549</v>
      </c>
      <c r="I27" s="73">
        <v>101.91684090971758</v>
      </c>
      <c r="J27" s="73">
        <v>14855.000000000022</v>
      </c>
      <c r="K27" s="73">
        <v>178.30591689565435</v>
      </c>
      <c r="L27" s="73">
        <v>212.86850401127921</v>
      </c>
      <c r="M27" s="73">
        <v>85.14693182963201</v>
      </c>
      <c r="N27" s="73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73">
        <v>105.45455621512447</v>
      </c>
      <c r="H28" s="73">
        <v>34.601343514979156</v>
      </c>
      <c r="I28" s="73">
        <v>39.944100269896211</v>
      </c>
      <c r="J28" s="73">
        <v>8159.9999999999836</v>
      </c>
      <c r="K28" s="73">
        <v>146.87409574189726</v>
      </c>
      <c r="L28" s="73">
        <v>97.836598469080073</v>
      </c>
      <c r="M28" s="73">
        <v>86.53323061113575</v>
      </c>
      <c r="N28" s="73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73">
        <v>6.2805610355424903</v>
      </c>
      <c r="H29" s="73">
        <v>152.51605764849953</v>
      </c>
      <c r="I29" s="73">
        <v>21.203381315957945</v>
      </c>
      <c r="J29" s="73">
        <v>1184.000000000002</v>
      </c>
      <c r="K29" s="73">
        <v>27.856776554368238</v>
      </c>
      <c r="L29" s="73">
        <v>92.097774131626011</v>
      </c>
      <c r="M29" s="73">
        <v>117.51595636338071</v>
      </c>
      <c r="N29" s="73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73">
        <v>149.63310187053602</v>
      </c>
      <c r="H30" s="73">
        <v>22.208511235429423</v>
      </c>
      <c r="I30" s="73">
        <v>8.1583868940346917</v>
      </c>
      <c r="J30" s="73">
        <v>2114.0000000000059</v>
      </c>
      <c r="K30" s="73">
        <v>141.15239990875111</v>
      </c>
      <c r="L30" s="73">
        <v>39.623225512317902</v>
      </c>
      <c r="M30" s="73">
        <v>105.53672346628922</v>
      </c>
      <c r="N30" s="73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73">
        <v>60.671745676477592</v>
      </c>
      <c r="H31" s="73">
        <v>25.905869817716045</v>
      </c>
      <c r="I31" s="73">
        <v>93.422384505806249</v>
      </c>
      <c r="J31" s="73">
        <v>14112.999999999964</v>
      </c>
      <c r="K31" s="73">
        <v>167.96725871431016</v>
      </c>
      <c r="L31" s="73">
        <v>192.31744590650115</v>
      </c>
      <c r="M31" s="73">
        <v>84.172442046075858</v>
      </c>
      <c r="N31" s="73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73">
        <v>74.530425232267149</v>
      </c>
      <c r="H32" s="73">
        <v>5.2205539839765773</v>
      </c>
      <c r="I32" s="73">
        <v>100.2490207837559</v>
      </c>
      <c r="J32" s="73">
        <v>1354.9999999999243</v>
      </c>
      <c r="K32" s="73">
        <v>120.76837334335509</v>
      </c>
      <c r="L32" s="73">
        <v>123.30855606972291</v>
      </c>
      <c r="M32" s="73">
        <v>11.401754250991379</v>
      </c>
      <c r="N32" s="73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73">
        <v>43.170086360492895</v>
      </c>
      <c r="H33" s="73">
        <v>38.938211211271316</v>
      </c>
      <c r="I33" s="73">
        <v>97.891702428235689</v>
      </c>
      <c r="J33" s="73">
        <v>3938.9999999999959</v>
      </c>
      <c r="K33" s="73">
        <v>65.79513659838392</v>
      </c>
      <c r="L33" s="73">
        <v>95.257545632878873</v>
      </c>
      <c r="M33" s="73">
        <v>60.440052945046304</v>
      </c>
      <c r="N33" s="73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73">
        <v>105.58440116690444</v>
      </c>
      <c r="H34" s="73">
        <v>16.175078917908351</v>
      </c>
      <c r="I34" s="73">
        <v>58.240519915187235</v>
      </c>
      <c r="J34" s="73">
        <v>735</v>
      </c>
      <c r="K34" s="73">
        <v>54.671747731346578</v>
      </c>
      <c r="L34" s="73">
        <v>48.259714048054619</v>
      </c>
      <c r="M34" s="73">
        <v>15.811388300841896</v>
      </c>
      <c r="N34" s="73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73">
        <v>41.421988593552385</v>
      </c>
      <c r="H35" s="73">
        <v>52.136456504046564</v>
      </c>
      <c r="I35" s="73">
        <v>86.441554902400895</v>
      </c>
      <c r="J35" s="73">
        <v>15951.999999999984</v>
      </c>
      <c r="K35" s="73">
        <v>115.73245007343446</v>
      </c>
      <c r="L35" s="73">
        <v>174.59095051004218</v>
      </c>
      <c r="M35" s="73">
        <v>138.10141201305655</v>
      </c>
      <c r="N35" s="73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73">
        <v>81.025955199067425</v>
      </c>
      <c r="H36" s="73">
        <v>50.28997732329271</v>
      </c>
      <c r="I36" s="73">
        <v>48.68406747763985</v>
      </c>
      <c r="J36" s="73">
        <v>16596.999999999996</v>
      </c>
      <c r="K36" s="73">
        <v>168.44286865284622</v>
      </c>
      <c r="L36" s="73">
        <v>128.08200498118384</v>
      </c>
      <c r="M36" s="73">
        <v>131.18688958886096</v>
      </c>
      <c r="N36" s="73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73">
        <v>24.024006362844364</v>
      </c>
      <c r="H37" s="73">
        <v>23.11707510695793</v>
      </c>
      <c r="I37" s="73">
        <v>132.85891853019774</v>
      </c>
      <c r="J37" s="73">
        <v>3080.0000000000023</v>
      </c>
      <c r="K37" s="73">
        <v>66.007575322836999</v>
      </c>
      <c r="L37" s="73">
        <v>118.84864324004712</v>
      </c>
      <c r="M37" s="73">
        <v>63.655321851358195</v>
      </c>
      <c r="N37" s="73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73">
        <v>154.45178531198459</v>
      </c>
      <c r="H38" s="73">
        <v>11.119915313473882</v>
      </c>
      <c r="I38" s="73">
        <v>14.428299374541314</v>
      </c>
      <c r="J38" s="73">
        <v>4618.9999999999727</v>
      </c>
      <c r="K38" s="73">
        <v>203.60009823180343</v>
      </c>
      <c r="L38" s="73">
        <v>117.63077828527702</v>
      </c>
      <c r="M38" s="73">
        <v>91.049437120720299</v>
      </c>
      <c r="N38" s="73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73">
        <v>22.971813832400485</v>
      </c>
      <c r="H39" s="73">
        <v>17.487499787306099</v>
      </c>
      <c r="I39" s="73">
        <v>139.54068638029335</v>
      </c>
      <c r="J39" s="73">
        <v>5425.0000000000045</v>
      </c>
      <c r="K39" s="73">
        <v>104.20172743289815</v>
      </c>
      <c r="L39" s="73">
        <v>173.25414857947845</v>
      </c>
      <c r="M39" s="73">
        <v>80.230916734136841</v>
      </c>
      <c r="N39" s="73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73">
        <v>45.451451529508851</v>
      </c>
      <c r="H40" s="73">
        <v>73.609849578230609</v>
      </c>
      <c r="I40" s="73">
        <v>60.938698892260618</v>
      </c>
      <c r="J40" s="73">
        <v>10169</v>
      </c>
      <c r="K40" s="73">
        <v>92.962357973536797</v>
      </c>
      <c r="L40" s="73">
        <v>114.02192771568107</v>
      </c>
      <c r="M40" s="73">
        <v>125.14391715141412</v>
      </c>
      <c r="N40" s="73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73">
        <v>54.621801760071435</v>
      </c>
      <c r="H41" s="73">
        <v>42.389639943385731</v>
      </c>
      <c r="I41" s="73">
        <v>82.988558296542735</v>
      </c>
      <c r="J41" s="73">
        <v>13041.999999999989</v>
      </c>
      <c r="K41" s="73">
        <v>126.0634760745554</v>
      </c>
      <c r="L41" s="73">
        <v>153.45683432157722</v>
      </c>
      <c r="M41" s="73">
        <v>104.23531071570709</v>
      </c>
      <c r="N41" s="73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73">
        <v>94.59488568615626</v>
      </c>
      <c r="H42" s="73">
        <v>43.433492313112744</v>
      </c>
      <c r="I42" s="73">
        <v>41.971622000730875</v>
      </c>
      <c r="J42" s="73">
        <v>8037.9999999999945</v>
      </c>
      <c r="K42" s="73">
        <v>132.0075755401939</v>
      </c>
      <c r="L42" s="73">
        <v>88.566359301938121</v>
      </c>
      <c r="M42" s="73">
        <v>91.049437120720299</v>
      </c>
      <c r="N42" s="73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73">
        <v>36.100024762914678</v>
      </c>
      <c r="H43" s="73">
        <v>65.74144875907767</v>
      </c>
      <c r="I43" s="73">
        <v>78.158526478007559</v>
      </c>
      <c r="J43" s="73">
        <v>14689.999999999998</v>
      </c>
      <c r="K43" s="73">
        <v>98.488578017961046</v>
      </c>
      <c r="L43" s="73">
        <v>163.60012224934309</v>
      </c>
      <c r="M43" s="73">
        <v>152.3975065412817</v>
      </c>
      <c r="N43" s="73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73">
        <v>18.663066182327583</v>
      </c>
      <c r="H44" s="73">
        <v>14.317931363127959</v>
      </c>
      <c r="I44" s="73">
        <v>147.01900245454448</v>
      </c>
      <c r="J44" s="73">
        <v>305.00000000000034</v>
      </c>
      <c r="K44" s="73">
        <v>26.92582403567252</v>
      </c>
      <c r="L44" s="73">
        <v>45.803929962395145</v>
      </c>
      <c r="M44" s="73">
        <v>20.808652046684813</v>
      </c>
      <c r="N44" s="73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73">
        <v>121.03174990938801</v>
      </c>
      <c r="H45" s="73">
        <v>43.135561368081746</v>
      </c>
      <c r="I45" s="73">
        <v>15.832688722530373</v>
      </c>
      <c r="J45" s="73">
        <v>1486</v>
      </c>
      <c r="K45" s="73">
        <v>82.619610262939389</v>
      </c>
      <c r="L45" s="73">
        <v>26.305892875931811</v>
      </c>
      <c r="M45" s="73">
        <v>65.924198895398035</v>
      </c>
      <c r="N45" s="73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73">
        <v>36.641173194118814</v>
      </c>
      <c r="H46" s="73">
        <v>85.601294645004444</v>
      </c>
      <c r="I46" s="73">
        <v>57.757532160876664</v>
      </c>
      <c r="J46" s="73">
        <v>1495</v>
      </c>
      <c r="K46" s="73">
        <v>32.526911934581186</v>
      </c>
      <c r="L46" s="73">
        <v>46.097722286464439</v>
      </c>
      <c r="M46" s="73">
        <v>54.341512676774101</v>
      </c>
      <c r="N46" s="73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73">
        <v>4.4295592989764563</v>
      </c>
      <c r="H47" s="73">
        <v>0.33408239174132559</v>
      </c>
      <c r="I47" s="73">
        <v>175.23635830927086</v>
      </c>
      <c r="J47" s="73">
        <v>109.9999999976245</v>
      </c>
      <c r="K47" s="73">
        <v>132.45754036671525</v>
      </c>
      <c r="L47" s="73">
        <v>142.42541907960108</v>
      </c>
      <c r="M47" s="73">
        <v>10</v>
      </c>
      <c r="N47" s="73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73">
        <v>109.62689472182669</v>
      </c>
      <c r="H48" s="73">
        <v>49.904040854794317</v>
      </c>
      <c r="I48" s="73">
        <v>20.469064423379042</v>
      </c>
      <c r="J48" s="73">
        <v>11054.000000000002</v>
      </c>
      <c r="K48" s="73">
        <v>197.28405916343064</v>
      </c>
      <c r="L48" s="73">
        <v>73.246160308919954</v>
      </c>
      <c r="M48" s="73">
        <v>160.22484201895784</v>
      </c>
      <c r="N48" s="73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73">
        <v>60.812823490340165</v>
      </c>
      <c r="H49" s="73">
        <v>63.257305640106772</v>
      </c>
      <c r="I49" s="73">
        <v>55.929870869553042</v>
      </c>
      <c r="J49" s="73">
        <v>30270.999999999996</v>
      </c>
      <c r="K49" s="73">
        <v>189.01058171435798</v>
      </c>
      <c r="L49" s="73">
        <v>179.33767033169579</v>
      </c>
      <c r="M49" s="73">
        <v>193.34166648707671</v>
      </c>
      <c r="N49" s="73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73">
        <v>0.9191047837006201</v>
      </c>
      <c r="H50" s="73">
        <v>179.01788283675256</v>
      </c>
      <c r="I50" s="73">
        <v>6.3012379465895552E-2</v>
      </c>
      <c r="J50" s="73">
        <v>18.000000000426038</v>
      </c>
      <c r="K50" s="73">
        <v>123.76186811776881</v>
      </c>
      <c r="L50" s="73">
        <v>8.4852813742385695</v>
      </c>
      <c r="M50" s="73">
        <v>132.24598292575845</v>
      </c>
      <c r="N50" s="73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73">
        <v>56.221987380251882</v>
      </c>
      <c r="H51" s="73">
        <v>53.860518629400701</v>
      </c>
      <c r="I51" s="73">
        <v>69.917493990347438</v>
      </c>
      <c r="J51" s="73">
        <v>26734</v>
      </c>
      <c r="K51" s="73">
        <v>171.16366436834659</v>
      </c>
      <c r="L51" s="73">
        <v>193.40372281835735</v>
      </c>
      <c r="M51" s="73">
        <v>166.30093204789924</v>
      </c>
      <c r="N51" s="73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73">
        <v>17.612878631460053</v>
      </c>
      <c r="H52" s="73">
        <v>132.59364658871519</v>
      </c>
      <c r="I52" s="73">
        <v>29.793474779824834</v>
      </c>
      <c r="J52" s="73">
        <v>10464.000000000004</v>
      </c>
      <c r="K52" s="73">
        <v>93.037626796904064</v>
      </c>
      <c r="L52" s="73">
        <v>152.77761616153069</v>
      </c>
      <c r="M52" s="73">
        <v>226.35591443565153</v>
      </c>
      <c r="N52" s="73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73">
        <v>36.385402761013445</v>
      </c>
      <c r="H53" s="73">
        <v>36.320110148679568</v>
      </c>
      <c r="I53" s="73">
        <v>107.2944870903069</v>
      </c>
      <c r="J53" s="73">
        <v>12332.999999999985</v>
      </c>
      <c r="K53" s="73">
        <v>113.74093370462545</v>
      </c>
      <c r="L53" s="73">
        <v>183.06829326784035</v>
      </c>
      <c r="M53" s="73">
        <v>113.5649593844862</v>
      </c>
      <c r="N53" s="73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73">
        <v>157.73454980094627</v>
      </c>
      <c r="H54" s="73">
        <v>10.094824814274565</v>
      </c>
      <c r="I54" s="73">
        <v>12.170625384779749</v>
      </c>
      <c r="J54" s="73">
        <v>2780.0000000000773</v>
      </c>
      <c r="K54" s="73">
        <v>168.83423823383691</v>
      </c>
      <c r="L54" s="73">
        <v>93.941471140279674</v>
      </c>
      <c r="M54" s="73">
        <v>78.10249675906654</v>
      </c>
      <c r="N54" s="73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73">
        <v>48.094799011702236</v>
      </c>
      <c r="H55" s="73">
        <v>84.202900320440932</v>
      </c>
      <c r="I55" s="73">
        <v>47.702300667856733</v>
      </c>
      <c r="J55" s="73">
        <v>13179.000000000002</v>
      </c>
      <c r="K55" s="73">
        <v>115.45128842936315</v>
      </c>
      <c r="L55" s="73">
        <v>114.73883387938018</v>
      </c>
      <c r="M55" s="73">
        <v>154.33081351434652</v>
      </c>
      <c r="N55" s="73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73">
        <v>86.566369637549457</v>
      </c>
      <c r="H56" s="73">
        <v>54.246112745563217</v>
      </c>
      <c r="I56" s="73">
        <v>39.187517616887241</v>
      </c>
      <c r="J56" s="73">
        <v>3899.9999999999977</v>
      </c>
      <c r="K56" s="73">
        <v>87.13208364316786</v>
      </c>
      <c r="L56" s="73">
        <v>55.154328932550705</v>
      </c>
      <c r="M56" s="73">
        <v>70.837842993699354</v>
      </c>
      <c r="N56" s="73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73">
        <v>80.132643624315108</v>
      </c>
      <c r="H57" s="73">
        <v>42.660481920146793</v>
      </c>
      <c r="I57" s="73">
        <v>57.206874455538134</v>
      </c>
      <c r="J57" s="73">
        <v>28090.000000000011</v>
      </c>
      <c r="K57" s="73">
        <v>220.41097976280582</v>
      </c>
      <c r="L57" s="73">
        <v>188.06647760831805</v>
      </c>
      <c r="M57" s="73">
        <v>151.6047492659778</v>
      </c>
      <c r="N57" s="73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73">
        <v>54.950626687951662</v>
      </c>
      <c r="H58" s="73">
        <v>19.330122533133142</v>
      </c>
      <c r="I58" s="73">
        <v>105.71925077891532</v>
      </c>
      <c r="J58" s="73">
        <v>2345.0000000000064</v>
      </c>
      <c r="K58" s="73">
        <v>77.620873481300123</v>
      </c>
      <c r="L58" s="73">
        <v>91.268833672837076</v>
      </c>
      <c r="M58" s="73">
        <v>31.384709652950431</v>
      </c>
      <c r="N58" s="73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73">
        <v>11.309932474020323</v>
      </c>
      <c r="H59" s="73">
        <v>9.4623222080257747</v>
      </c>
      <c r="I59" s="73">
        <v>159.22774531795415</v>
      </c>
      <c r="J59" s="73">
        <v>814.00000000001342</v>
      </c>
      <c r="K59" s="73">
        <v>52.32590180780452</v>
      </c>
      <c r="L59" s="73">
        <v>94.62557793746889</v>
      </c>
      <c r="M59" s="73">
        <v>43.863424398922618</v>
      </c>
      <c r="N59" s="73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73">
        <v>31.401553600099056</v>
      </c>
      <c r="H60" s="73">
        <v>73.177761561551222</v>
      </c>
      <c r="I60" s="73">
        <v>75.420684838349729</v>
      </c>
      <c r="J60" s="73">
        <v>17682.000000000004</v>
      </c>
      <c r="K60" s="73">
        <v>99.724620831567975</v>
      </c>
      <c r="L60" s="73">
        <v>185.23498589629335</v>
      </c>
      <c r="M60" s="73">
        <v>183.20753259623362</v>
      </c>
      <c r="N60" s="73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73">
        <v>10.411363326221819</v>
      </c>
      <c r="H61" s="73">
        <v>61.870537002532366</v>
      </c>
      <c r="I61" s="73">
        <v>107.71809967124577</v>
      </c>
      <c r="J61" s="73">
        <v>1877.9999999999993</v>
      </c>
      <c r="K61" s="73">
        <v>20.09975124224178</v>
      </c>
      <c r="L61" s="73">
        <v>105.94810050208545</v>
      </c>
      <c r="M61" s="73">
        <v>98.086696345630884</v>
      </c>
      <c r="N61" s="73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73">
        <v>70.559965171823848</v>
      </c>
      <c r="H62" s="73">
        <v>76.75948008481285</v>
      </c>
      <c r="I62" s="73">
        <v>32.680554743363416</v>
      </c>
      <c r="J62" s="73">
        <v>7072.0000000000009</v>
      </c>
      <c r="K62" s="73">
        <v>112.64102272262978</v>
      </c>
      <c r="L62" s="73">
        <v>64.498061986388393</v>
      </c>
      <c r="M62" s="73">
        <v>116.27553482998907</v>
      </c>
      <c r="N62" s="73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73">
        <v>64.266469242399154</v>
      </c>
      <c r="H63" s="73">
        <v>58.577113771877904</v>
      </c>
      <c r="I63" s="73">
        <v>57.156416985722885</v>
      </c>
      <c r="J63" s="73">
        <v>11103.999999999998</v>
      </c>
      <c r="K63" s="73">
        <v>118.1185844818672</v>
      </c>
      <c r="L63" s="73">
        <v>110.16351483136329</v>
      </c>
      <c r="M63" s="73">
        <v>111.89280584559492</v>
      </c>
      <c r="N63" s="73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73">
        <v>60.860884891891054</v>
      </c>
      <c r="H64" s="73">
        <v>61.527058958428178</v>
      </c>
      <c r="I64" s="73">
        <v>57.612056149680683</v>
      </c>
      <c r="J64" s="73">
        <v>1782.9999999999991</v>
      </c>
      <c r="K64" s="73">
        <v>45.803929962395145</v>
      </c>
      <c r="L64" s="73">
        <v>44.283179650969061</v>
      </c>
      <c r="M64" s="73">
        <v>46.097722286464439</v>
      </c>
      <c r="N64" s="73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73">
        <v>12.528807709151433</v>
      </c>
      <c r="H65" s="73">
        <v>149.03624346792643</v>
      </c>
      <c r="I65" s="73">
        <v>18.434948822922006</v>
      </c>
      <c r="J65" s="73">
        <v>3510.0000000000059</v>
      </c>
      <c r="K65" s="73">
        <v>68.410525505948286</v>
      </c>
      <c r="L65" s="73">
        <v>99.724620831567975</v>
      </c>
      <c r="M65" s="73">
        <v>162.24980739587951</v>
      </c>
      <c r="N65" s="73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73">
        <v>107.74133877267688</v>
      </c>
      <c r="H66" s="73">
        <v>36.881710396589966</v>
      </c>
      <c r="I66" s="73">
        <v>35.376950830733215</v>
      </c>
      <c r="J66" s="73">
        <v>8733.0000000000073</v>
      </c>
      <c r="K66" s="73">
        <v>154.719100307622</v>
      </c>
      <c r="L66" s="73">
        <v>94.047860156411858</v>
      </c>
      <c r="M66" s="73">
        <v>97.49358953285082</v>
      </c>
      <c r="N66" s="73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73">
        <v>12.769085970665559</v>
      </c>
      <c r="H67" s="73">
        <v>163.40048466948576</v>
      </c>
      <c r="I67" s="73">
        <v>3.8304293598483969</v>
      </c>
      <c r="J67" s="73">
        <v>3207.0000000000036</v>
      </c>
      <c r="K67" s="73">
        <v>192.7200041511</v>
      </c>
      <c r="L67" s="73">
        <v>58.249463516842795</v>
      </c>
      <c r="M67" s="73">
        <v>249.09837414162303</v>
      </c>
      <c r="N67" s="73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73">
        <v>5.7542379384965336</v>
      </c>
      <c r="H68" s="73">
        <v>88.518542829113017</v>
      </c>
      <c r="I68" s="73">
        <v>85.727219232390709</v>
      </c>
      <c r="J68" s="73">
        <v>2436</v>
      </c>
      <c r="K68" s="73">
        <v>15.652475842498529</v>
      </c>
      <c r="L68" s="73">
        <v>155.68236894394946</v>
      </c>
      <c r="M68" s="73">
        <v>156.06408939919524</v>
      </c>
      <c r="N68" s="73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73">
        <v>33.589816359453728</v>
      </c>
      <c r="H69" s="73">
        <v>80.100629977293323</v>
      </c>
      <c r="I69" s="73">
        <v>66.309553663252871</v>
      </c>
      <c r="J69" s="73">
        <v>2016.9999999999998</v>
      </c>
      <c r="K69" s="73">
        <v>35.171010790137949</v>
      </c>
      <c r="L69" s="73">
        <v>58.215118311311535</v>
      </c>
      <c r="M69" s="73">
        <v>62.625873247404705</v>
      </c>
      <c r="N69" s="73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73">
        <v>139.76364169072627</v>
      </c>
      <c r="H70" s="73">
        <v>33.47276472650438</v>
      </c>
      <c r="I70" s="73">
        <v>6.7635935827698495</v>
      </c>
      <c r="J70" s="73">
        <v>1936.0000000000064</v>
      </c>
      <c r="K70" s="73">
        <v>138.75157656761959</v>
      </c>
      <c r="L70" s="73">
        <v>25.298221281347036</v>
      </c>
      <c r="M70" s="73">
        <v>118.47362575695909</v>
      </c>
      <c r="N70" s="73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73">
        <v>34.22842174076775</v>
      </c>
      <c r="H71" s="73">
        <v>34.618538521663055</v>
      </c>
      <c r="I71" s="73">
        <v>111.1530397375692</v>
      </c>
      <c r="J71" s="73">
        <v>3520.0000000000005</v>
      </c>
      <c r="K71" s="73">
        <v>61.1310068623117</v>
      </c>
      <c r="L71" s="73">
        <v>101.35580891098448</v>
      </c>
      <c r="M71" s="73">
        <v>61.741396161732524</v>
      </c>
      <c r="N71" s="73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F31" sqref="F31"/>
    </sheetView>
  </sheetViews>
  <sheetFormatPr defaultColWidth="9.140625" defaultRowHeight="12.75" x14ac:dyDescent="0.2"/>
  <cols>
    <col min="1" max="1" width="21.140625" style="20" customWidth="1"/>
    <col min="2" max="2" width="15.7109375" style="28" customWidth="1"/>
    <col min="3" max="3" width="14.5703125" style="28" customWidth="1"/>
    <col min="4" max="4" width="23.140625" style="23" customWidth="1"/>
    <col min="5" max="10" width="9.140625" style="20"/>
    <col min="11" max="11" width="9.140625" style="38"/>
    <col min="12" max="16384" width="9.140625" style="20"/>
  </cols>
  <sheetData>
    <row r="1" spans="1:17" ht="55.5" customHeight="1" x14ac:dyDescent="0.2">
      <c r="A1" s="19"/>
      <c r="B1" s="29" t="s">
        <v>99</v>
      </c>
      <c r="C1" s="29" t="s">
        <v>100</v>
      </c>
      <c r="D1" s="25" t="s">
        <v>98</v>
      </c>
      <c r="F1" s="65"/>
      <c r="G1" s="65"/>
      <c r="H1" s="65"/>
      <c r="I1" s="65"/>
      <c r="J1" s="65"/>
      <c r="K1" s="41"/>
      <c r="M1" s="40"/>
      <c r="N1" s="40"/>
      <c r="O1" s="40"/>
      <c r="P1" s="40"/>
    </row>
    <row r="2" spans="1:17" ht="13.15" customHeight="1" x14ac:dyDescent="0.2">
      <c r="A2" s="19" t="s">
        <v>61</v>
      </c>
      <c r="B2" s="26">
        <v>2</v>
      </c>
      <c r="C2" s="27">
        <v>0</v>
      </c>
      <c r="D2" s="18">
        <f>B2*cenas!B2-B2*cenas!B2*C2</f>
        <v>79.599999999999994</v>
      </c>
      <c r="L2" s="61" t="s">
        <v>3909</v>
      </c>
      <c r="M2" s="61"/>
      <c r="N2" s="61"/>
      <c r="O2" s="61"/>
      <c r="P2" s="61"/>
    </row>
    <row r="3" spans="1:17" ht="13.15" customHeight="1" x14ac:dyDescent="0.2">
      <c r="A3" s="19" t="s">
        <v>62</v>
      </c>
      <c r="B3" s="26">
        <v>1</v>
      </c>
      <c r="C3" s="27">
        <v>3.5000000000000003E-2</v>
      </c>
      <c r="D3" s="18">
        <f>B3*cenas!B3-B3*cenas!B3*C3</f>
        <v>72.278500000000008</v>
      </c>
      <c r="K3" s="38">
        <v>22</v>
      </c>
      <c r="L3" s="61"/>
      <c r="M3" s="61"/>
      <c r="N3" s="61"/>
      <c r="O3" s="61"/>
      <c r="P3" s="61"/>
      <c r="Q3" s="20" t="s">
        <v>3884</v>
      </c>
    </row>
    <row r="4" spans="1:17" ht="13.15" customHeight="1" x14ac:dyDescent="0.2">
      <c r="A4" s="19" t="s">
        <v>63</v>
      </c>
      <c r="B4" s="26">
        <v>2</v>
      </c>
      <c r="C4" s="27">
        <v>0.03</v>
      </c>
      <c r="D4" s="18">
        <f>B4*cenas!B4-B4*cenas!B4*C4</f>
        <v>384.50799999999998</v>
      </c>
      <c r="L4" s="61"/>
      <c r="M4" s="61"/>
      <c r="N4" s="61"/>
      <c r="O4" s="61"/>
      <c r="P4" s="61"/>
    </row>
    <row r="5" spans="1:17" x14ac:dyDescent="0.2">
      <c r="A5" s="19" t="s">
        <v>64</v>
      </c>
      <c r="B5" s="26">
        <v>2</v>
      </c>
      <c r="C5" s="27">
        <v>2.5000000000000001E-2</v>
      </c>
      <c r="D5" s="18">
        <f>B5*cenas!B5-B5*cenas!B5*C5</f>
        <v>193.83</v>
      </c>
      <c r="L5" s="61"/>
      <c r="M5" s="61"/>
      <c r="N5" s="61"/>
      <c r="O5" s="61"/>
      <c r="P5" s="61"/>
    </row>
    <row r="6" spans="1:17" ht="13.9" customHeight="1" x14ac:dyDescent="0.2">
      <c r="A6" s="19" t="s">
        <v>65</v>
      </c>
      <c r="B6" s="26">
        <v>2</v>
      </c>
      <c r="C6" s="27">
        <v>5.0000000000000001E-3</v>
      </c>
      <c r="D6" s="18">
        <f>B6*cenas!B6-B6*cenas!B6*C6</f>
        <v>193.62699999999998</v>
      </c>
      <c r="L6" s="61"/>
      <c r="M6" s="61"/>
      <c r="N6" s="61"/>
      <c r="O6" s="61"/>
      <c r="P6" s="61"/>
    </row>
    <row r="7" spans="1:17" x14ac:dyDescent="0.2">
      <c r="A7" s="19" t="s">
        <v>66</v>
      </c>
      <c r="B7" s="26">
        <v>2</v>
      </c>
      <c r="C7" s="27">
        <v>5.0000000000000001E-3</v>
      </c>
      <c r="D7" s="18">
        <f>B7*cenas!B7-B7*cenas!B7*C7</f>
        <v>146.066</v>
      </c>
    </row>
    <row r="8" spans="1:17" x14ac:dyDescent="0.2">
      <c r="A8" s="19" t="s">
        <v>67</v>
      </c>
      <c r="B8" s="26">
        <v>1</v>
      </c>
      <c r="C8" s="27">
        <v>0.01</v>
      </c>
      <c r="D8" s="18">
        <f>B8*cenas!B8-B8*cenas!B8*C8</f>
        <v>36.431999999999995</v>
      </c>
      <c r="K8" s="38">
        <v>23</v>
      </c>
      <c r="L8" s="61" t="s">
        <v>3908</v>
      </c>
      <c r="M8" s="61"/>
      <c r="N8" s="61"/>
      <c r="O8" s="61"/>
      <c r="P8" s="61"/>
      <c r="Q8" s="20" t="s">
        <v>3885</v>
      </c>
    </row>
    <row r="9" spans="1:17" x14ac:dyDescent="0.2">
      <c r="A9" s="19" t="s">
        <v>68</v>
      </c>
      <c r="B9" s="26">
        <v>1</v>
      </c>
      <c r="C9" s="27">
        <v>0.01</v>
      </c>
      <c r="D9" s="18">
        <f>B9*cenas!B9-B9*cenas!B9*C9</f>
        <v>63.756000000000007</v>
      </c>
      <c r="L9" s="61"/>
      <c r="M9" s="61"/>
      <c r="N9" s="61"/>
      <c r="O9" s="61"/>
      <c r="P9" s="61"/>
    </row>
    <row r="10" spans="1:17" x14ac:dyDescent="0.2">
      <c r="A10" s="19" t="s">
        <v>69</v>
      </c>
      <c r="B10" s="26">
        <v>1</v>
      </c>
      <c r="C10" s="27">
        <v>1.4999999999999999E-2</v>
      </c>
      <c r="D10" s="18">
        <f>B10*cenas!B10-B10*cenas!B10*C10</f>
        <v>24.723500000000001</v>
      </c>
    </row>
    <row r="11" spans="1:17" x14ac:dyDescent="0.2">
      <c r="A11" s="19" t="s">
        <v>70</v>
      </c>
      <c r="B11" s="26">
        <v>1</v>
      </c>
      <c r="C11" s="27">
        <v>0.03</v>
      </c>
      <c r="D11" s="18">
        <f>B11*cenas!B11-B11*cenas!B11*C11</f>
        <v>47.724000000000004</v>
      </c>
    </row>
    <row r="12" spans="1:17" x14ac:dyDescent="0.2">
      <c r="A12" s="19" t="s">
        <v>71</v>
      </c>
      <c r="B12" s="26">
        <v>1</v>
      </c>
      <c r="C12" s="27">
        <v>0.02</v>
      </c>
      <c r="D12" s="18">
        <f>B12*cenas!B12-B12*cenas!B12*C12</f>
        <v>97.804000000000002</v>
      </c>
    </row>
    <row r="13" spans="1:17" x14ac:dyDescent="0.2">
      <c r="A13" s="19" t="s">
        <v>72</v>
      </c>
      <c r="B13" s="26">
        <v>2</v>
      </c>
      <c r="C13" s="27">
        <v>2.5000000000000001E-2</v>
      </c>
      <c r="D13" s="18">
        <f>B13*cenas!B13-B13*cenas!B13*C13</f>
        <v>162.63000000000002</v>
      </c>
    </row>
    <row r="14" spans="1:17" x14ac:dyDescent="0.2">
      <c r="A14" s="19" t="s">
        <v>73</v>
      </c>
      <c r="B14" s="26">
        <v>1</v>
      </c>
      <c r="C14" s="27">
        <v>0.02</v>
      </c>
      <c r="D14" s="18">
        <f>B14*cenas!B14-B14*cenas!B14*C14</f>
        <v>166.79599999999999</v>
      </c>
    </row>
    <row r="15" spans="1:17" x14ac:dyDescent="0.2">
      <c r="A15" s="19" t="s">
        <v>74</v>
      </c>
      <c r="B15" s="26">
        <v>60</v>
      </c>
      <c r="C15" s="27">
        <v>0.03</v>
      </c>
      <c r="D15" s="18">
        <f>B15*cenas!B15-B15*cenas!B15*C15</f>
        <v>1629.6</v>
      </c>
    </row>
    <row r="16" spans="1:17" x14ac:dyDescent="0.2">
      <c r="A16" s="19" t="s">
        <v>75</v>
      </c>
      <c r="B16" s="26">
        <v>1</v>
      </c>
      <c r="C16" s="27">
        <v>2.5000000000000001E-2</v>
      </c>
      <c r="D16" s="18">
        <f>B16*cenas!B16-B16*cenas!B16*C16</f>
        <v>22.425000000000001</v>
      </c>
    </row>
    <row r="17" spans="1:4" x14ac:dyDescent="0.2">
      <c r="A17" s="19" t="s">
        <v>76</v>
      </c>
      <c r="B17" s="26">
        <v>1</v>
      </c>
      <c r="C17" s="27">
        <v>1.4999999999999999E-2</v>
      </c>
      <c r="D17" s="18">
        <f>B17*cenas!B17-B17*cenas!B17*C17</f>
        <v>26.496499999999997</v>
      </c>
    </row>
    <row r="18" spans="1:4" x14ac:dyDescent="0.2">
      <c r="A18" s="19" t="s">
        <v>77</v>
      </c>
      <c r="B18" s="26">
        <v>1</v>
      </c>
      <c r="C18" s="27">
        <v>4.4999999999999998E-2</v>
      </c>
      <c r="D18" s="18">
        <f>B18*cenas!B18-B18*cenas!B18*C18</f>
        <v>201.21849999999998</v>
      </c>
    </row>
    <row r="19" spans="1:4" x14ac:dyDescent="0.2">
      <c r="A19" s="19" t="s">
        <v>78</v>
      </c>
      <c r="B19" s="26">
        <v>1</v>
      </c>
      <c r="C19" s="27">
        <v>4.4999999999999998E-2</v>
      </c>
      <c r="D19" s="18">
        <f>B19*cenas!B19-B19*cenas!B19*C19</f>
        <v>17.381</v>
      </c>
    </row>
    <row r="20" spans="1:4" x14ac:dyDescent="0.2">
      <c r="A20" s="19" t="s">
        <v>79</v>
      </c>
      <c r="B20" s="26">
        <v>1</v>
      </c>
      <c r="C20" s="27">
        <v>2.5000000000000001E-2</v>
      </c>
      <c r="D20" s="18">
        <f>B20*cenas!B20-B20*cenas!B20*C20</f>
        <v>26.422500000000003</v>
      </c>
    </row>
    <row r="21" spans="1:4" x14ac:dyDescent="0.2">
      <c r="A21" s="19" t="s">
        <v>80</v>
      </c>
      <c r="B21" s="26"/>
      <c r="C21" s="27">
        <v>1.4999999999999999E-2</v>
      </c>
      <c r="D21" s="18">
        <f>B21*cenas!B21-B21*cenas!B21*C21</f>
        <v>0</v>
      </c>
    </row>
    <row r="22" spans="1:4" x14ac:dyDescent="0.2">
      <c r="A22" s="19" t="s">
        <v>81</v>
      </c>
      <c r="B22" s="26"/>
      <c r="C22" s="27">
        <v>0.05</v>
      </c>
      <c r="D22" s="18">
        <f>B22*cenas!B22-B22*cenas!B22*C22</f>
        <v>0</v>
      </c>
    </row>
    <row r="23" spans="1:4" x14ac:dyDescent="0.2">
      <c r="A23" s="19" t="s">
        <v>82</v>
      </c>
      <c r="B23" s="26">
        <v>2</v>
      </c>
      <c r="C23" s="27">
        <v>0.04</v>
      </c>
      <c r="D23" s="18">
        <f>B23*cenas!B23-B23*cenas!B23*C23</f>
        <v>75.647999999999996</v>
      </c>
    </row>
    <row r="24" spans="1:4" x14ac:dyDescent="0.2">
      <c r="A24" s="19" t="s">
        <v>83</v>
      </c>
      <c r="B24" s="26">
        <v>2</v>
      </c>
      <c r="C24" s="27">
        <v>0.01</v>
      </c>
      <c r="D24" s="18">
        <f>B24*cenas!B24-B24*cenas!B24*C24</f>
        <v>104.544</v>
      </c>
    </row>
    <row r="25" spans="1:4" x14ac:dyDescent="0.2">
      <c r="A25" s="19" t="s">
        <v>84</v>
      </c>
      <c r="B25" s="26">
        <v>2</v>
      </c>
      <c r="C25" s="27">
        <v>3.5000000000000003E-2</v>
      </c>
      <c r="D25" s="18">
        <f>B25*cenas!B25-B25*cenas!B25*C25</f>
        <v>36.67</v>
      </c>
    </row>
    <row r="26" spans="1:4" x14ac:dyDescent="0.2">
      <c r="A26" s="19" t="s">
        <v>85</v>
      </c>
      <c r="B26" s="26">
        <v>2</v>
      </c>
      <c r="C26" s="27">
        <v>0.01</v>
      </c>
      <c r="D26" s="18">
        <f>B26*cenas!B26-B26*cenas!B26*C26</f>
        <v>25.542000000000002</v>
      </c>
    </row>
    <row r="27" spans="1:4" x14ac:dyDescent="0.2">
      <c r="A27" s="19" t="s">
        <v>86</v>
      </c>
      <c r="B27" s="26"/>
      <c r="C27" s="27">
        <v>0</v>
      </c>
      <c r="D27" s="18">
        <f>B27*cenas!B27-B27*cenas!B27*C27</f>
        <v>0</v>
      </c>
    </row>
    <row r="28" spans="1:4" x14ac:dyDescent="0.2">
      <c r="A28" s="19" t="s">
        <v>87</v>
      </c>
      <c r="B28" s="26">
        <v>4</v>
      </c>
      <c r="C28" s="27">
        <v>0.02</v>
      </c>
      <c r="D28" s="18">
        <f>B28*cenas!B28-B28*cenas!B28*C28</f>
        <v>13.72</v>
      </c>
    </row>
    <row r="29" spans="1:4" x14ac:dyDescent="0.2">
      <c r="B29" s="66" t="s">
        <v>101</v>
      </c>
      <c r="C29" s="67"/>
      <c r="D29" s="24">
        <f>SUM(D2:D28)</f>
        <v>3849.4425000000001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2" customWidth="1"/>
    <col min="4" max="8" width="9.28515625" style="21" customWidth="1"/>
    <col min="10" max="11" width="9.28515625" style="21" customWidth="1"/>
    <col min="12" max="16384" width="9.140625" style="19"/>
  </cols>
  <sheetData>
    <row r="1" spans="1:11" x14ac:dyDescent="0.2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opLeftCell="B4" workbookViewId="0">
      <selection activeCell="S33" sqref="S33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6" width="9.140625" style="17" customWidth="1"/>
    <col min="7" max="7" width="9.425781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68" t="s">
        <v>3882</v>
      </c>
      <c r="M1" s="68"/>
      <c r="N1" s="68"/>
      <c r="O1" s="68"/>
      <c r="P1" s="68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68"/>
      <c r="M2" s="68"/>
      <c r="N2" s="68"/>
      <c r="O2" s="68"/>
      <c r="P2" s="68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68"/>
      <c r="M3" s="68"/>
      <c r="N3" s="68"/>
      <c r="O3" s="68"/>
      <c r="P3" s="68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69" t="s">
        <v>3883</v>
      </c>
      <c r="M6" s="69"/>
      <c r="N6" s="69"/>
      <c r="O6" s="69"/>
      <c r="P6" s="69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69"/>
      <c r="M7" s="69"/>
      <c r="N7" s="69"/>
      <c r="O7" s="69"/>
      <c r="P7" s="69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69"/>
      <c r="M8" s="69"/>
      <c r="N8" s="69"/>
      <c r="O8" s="69"/>
      <c r="P8" s="69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69"/>
      <c r="M9" s="69"/>
      <c r="N9" s="69"/>
      <c r="O9" s="69"/>
      <c r="P9" s="69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69" t="s">
        <v>3892</v>
      </c>
      <c r="M12" s="69"/>
      <c r="N12" s="69"/>
      <c r="O12" s="69"/>
      <c r="P12" s="69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69"/>
      <c r="M13" s="69"/>
      <c r="N13" s="69"/>
      <c r="O13" s="69"/>
      <c r="P13" s="69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69"/>
      <c r="M14" s="69"/>
      <c r="N14" s="69"/>
      <c r="O14" s="69"/>
      <c r="P14" s="69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69"/>
      <c r="M15" s="69"/>
      <c r="N15" s="69"/>
      <c r="O15" s="69"/>
      <c r="P15" s="69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C719-8DE2-4B20-833F-05EB02F5CCAF}">
  <dimension ref="A1:D24"/>
  <sheetViews>
    <sheetView tabSelected="1" workbookViewId="0">
      <selection activeCell="E8" sqref="E8"/>
    </sheetView>
  </sheetViews>
  <sheetFormatPr defaultRowHeight="12.75" x14ac:dyDescent="0.2"/>
  <cols>
    <col min="1" max="1" width="14.7109375" bestFit="1" customWidth="1"/>
    <col min="3" max="3" width="13.85546875" bestFit="1" customWidth="1"/>
    <col min="4" max="4" width="18" bestFit="1" customWidth="1"/>
  </cols>
  <sheetData>
    <row r="1" spans="1:4" x14ac:dyDescent="0.2">
      <c r="A1" s="74" t="s">
        <v>3916</v>
      </c>
      <c r="C1" s="74" t="s">
        <v>3916</v>
      </c>
      <c r="D1" t="s">
        <v>3918</v>
      </c>
    </row>
    <row r="2" spans="1:4" x14ac:dyDescent="0.2">
      <c r="A2" s="75" t="s">
        <v>380</v>
      </c>
      <c r="C2" s="75" t="s">
        <v>455</v>
      </c>
      <c r="D2" s="77">
        <v>25.330555555555556</v>
      </c>
    </row>
    <row r="3" spans="1:4" x14ac:dyDescent="0.2">
      <c r="A3" s="76" t="s">
        <v>370</v>
      </c>
      <c r="C3" s="75" t="s">
        <v>172</v>
      </c>
      <c r="D3" s="77">
        <v>27.454545454545453</v>
      </c>
    </row>
    <row r="4" spans="1:4" x14ac:dyDescent="0.2">
      <c r="A4" s="76" t="s">
        <v>672</v>
      </c>
      <c r="C4" s="75" t="s">
        <v>560</v>
      </c>
      <c r="D4" s="77">
        <v>29.684000000000001</v>
      </c>
    </row>
    <row r="5" spans="1:4" x14ac:dyDescent="0.2">
      <c r="A5" s="76" t="s">
        <v>1075</v>
      </c>
      <c r="C5" s="75" t="s">
        <v>118</v>
      </c>
      <c r="D5" s="77">
        <v>27.643414634146339</v>
      </c>
    </row>
    <row r="6" spans="1:4" x14ac:dyDescent="0.2">
      <c r="A6" s="76" t="s">
        <v>1145</v>
      </c>
      <c r="C6" s="75" t="s">
        <v>176</v>
      </c>
      <c r="D6" s="77">
        <v>27.457608695652173</v>
      </c>
    </row>
    <row r="7" spans="1:4" x14ac:dyDescent="0.2">
      <c r="A7" s="76" t="s">
        <v>1478</v>
      </c>
      <c r="C7" s="75" t="s">
        <v>219</v>
      </c>
      <c r="D7" s="77">
        <v>25.65</v>
      </c>
    </row>
    <row r="8" spans="1:4" x14ac:dyDescent="0.2">
      <c r="A8" s="76" t="s">
        <v>1726</v>
      </c>
      <c r="C8" s="75" t="s">
        <v>512</v>
      </c>
      <c r="D8" s="77">
        <v>23.700000000000003</v>
      </c>
    </row>
    <row r="9" spans="1:4" x14ac:dyDescent="0.2">
      <c r="A9" s="76" t="s">
        <v>2129</v>
      </c>
      <c r="C9" s="75" t="s">
        <v>631</v>
      </c>
      <c r="D9" s="77">
        <v>20.872727272727271</v>
      </c>
    </row>
    <row r="10" spans="1:4" x14ac:dyDescent="0.2">
      <c r="A10" s="76" t="s">
        <v>2168</v>
      </c>
      <c r="C10" s="75" t="s">
        <v>112</v>
      </c>
      <c r="D10" s="77">
        <v>20.684615384615388</v>
      </c>
    </row>
    <row r="11" spans="1:4" x14ac:dyDescent="0.2">
      <c r="A11" s="76" t="s">
        <v>2254</v>
      </c>
      <c r="C11" s="75" t="s">
        <v>3917</v>
      </c>
      <c r="D11" s="77">
        <v>26.624788135593221</v>
      </c>
    </row>
    <row r="12" spans="1:4" x14ac:dyDescent="0.2">
      <c r="A12" s="76" t="s">
        <v>2274</v>
      </c>
    </row>
    <row r="13" spans="1:4" x14ac:dyDescent="0.2">
      <c r="A13" s="76" t="s">
        <v>2429</v>
      </c>
    </row>
    <row r="14" spans="1:4" x14ac:dyDescent="0.2">
      <c r="A14" s="76" t="s">
        <v>2458</v>
      </c>
    </row>
    <row r="15" spans="1:4" x14ac:dyDescent="0.2">
      <c r="A15" s="76" t="s">
        <v>2617</v>
      </c>
    </row>
    <row r="16" spans="1:4" x14ac:dyDescent="0.2">
      <c r="A16" s="76" t="s">
        <v>2830</v>
      </c>
    </row>
    <row r="17" spans="1:2" x14ac:dyDescent="0.2">
      <c r="A17" s="76" t="s">
        <v>3120</v>
      </c>
    </row>
    <row r="18" spans="1:2" x14ac:dyDescent="0.2">
      <c r="A18" s="76" t="s">
        <v>3221</v>
      </c>
    </row>
    <row r="19" spans="1:2" x14ac:dyDescent="0.2">
      <c r="A19" s="76" t="s">
        <v>3368</v>
      </c>
    </row>
    <row r="20" spans="1:2" x14ac:dyDescent="0.2">
      <c r="A20" s="76" t="s">
        <v>3604</v>
      </c>
    </row>
    <row r="21" spans="1:2" x14ac:dyDescent="0.2">
      <c r="A21" s="76" t="s">
        <v>3809</v>
      </c>
    </row>
    <row r="22" spans="1:2" x14ac:dyDescent="0.2">
      <c r="A22" s="76" t="s">
        <v>3828</v>
      </c>
    </row>
    <row r="23" spans="1:2" x14ac:dyDescent="0.2">
      <c r="A23" s="76" t="s">
        <v>3864</v>
      </c>
    </row>
    <row r="24" spans="1:2" x14ac:dyDescent="0.2">
      <c r="A24" s="75" t="s">
        <v>3917</v>
      </c>
      <c r="B24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workbookViewId="0">
      <selection activeCell="V7" sqref="V7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45" t="s">
        <v>3893</v>
      </c>
      <c r="B1" s="46" t="s">
        <v>3894</v>
      </c>
      <c r="E1" s="70" t="s">
        <v>3895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8" ht="18" customHeight="1" x14ac:dyDescent="0.2">
      <c r="A2" s="47">
        <v>0</v>
      </c>
      <c r="B2" s="47">
        <v>1</v>
      </c>
      <c r="D2" s="3">
        <v>27</v>
      </c>
      <c r="E2" s="49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">
      <c r="A3" s="47">
        <v>10</v>
      </c>
      <c r="B3" s="47">
        <v>1.17</v>
      </c>
      <c r="D3" s="56">
        <v>28</v>
      </c>
      <c r="E3" s="49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">
      <c r="A4" s="47">
        <v>25</v>
      </c>
      <c r="B4" s="47">
        <v>1.48</v>
      </c>
    </row>
    <row r="5" spans="1:18" ht="18" customHeight="1" x14ac:dyDescent="0.2">
      <c r="A5" s="47">
        <v>45</v>
      </c>
      <c r="B5" s="47">
        <v>2.2799999999999998</v>
      </c>
    </row>
    <row r="6" spans="1:18" ht="18" customHeight="1" x14ac:dyDescent="0.2">
      <c r="A6" s="47">
        <v>49.5</v>
      </c>
      <c r="B6" s="47">
        <v>3.3</v>
      </c>
    </row>
    <row r="7" spans="1:18" ht="18" customHeight="1" x14ac:dyDescent="0.2">
      <c r="A7" s="47">
        <v>49.75</v>
      </c>
      <c r="B7" s="47">
        <v>3.6</v>
      </c>
    </row>
    <row r="8" spans="1:18" ht="18" customHeight="1" x14ac:dyDescent="0.2">
      <c r="A8" s="47">
        <v>50</v>
      </c>
      <c r="B8" s="47">
        <v>7</v>
      </c>
      <c r="R8" t="s">
        <v>3898</v>
      </c>
    </row>
    <row r="9" spans="1:18" ht="18" customHeight="1" x14ac:dyDescent="0.2">
      <c r="A9" s="47">
        <v>50.25</v>
      </c>
      <c r="B9" s="47">
        <v>10.4</v>
      </c>
    </row>
    <row r="10" spans="1:18" ht="18" customHeight="1" x14ac:dyDescent="0.2">
      <c r="A10" s="47">
        <v>55</v>
      </c>
      <c r="B10" s="47">
        <v>11.68</v>
      </c>
    </row>
    <row r="11" spans="1:18" ht="18" customHeight="1" x14ac:dyDescent="0.2">
      <c r="A11" s="47">
        <v>60</v>
      </c>
      <c r="B11" s="47">
        <v>11.96</v>
      </c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Sheet1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Markus Raudenieks</cp:lastModifiedBy>
  <cp:lastPrinted>2014-11-15T13:20:28Z</cp:lastPrinted>
  <dcterms:created xsi:type="dcterms:W3CDTF">2014-03-10T14:05:11Z</dcterms:created>
  <dcterms:modified xsi:type="dcterms:W3CDTF">2026-01-23T09:31:34Z</dcterms:modified>
</cp:coreProperties>
</file>